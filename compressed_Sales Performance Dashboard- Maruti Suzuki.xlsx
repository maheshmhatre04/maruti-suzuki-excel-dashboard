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mc:AlternateContent xmlns:mc="http://schemas.openxmlformats.org/markup-compatibility/2006">
    <mc:Choice Requires="x15">
      <x15ac:absPath xmlns:x15ac="http://schemas.microsoft.com/office/spreadsheetml/2010/11/ac" url="https://d.docs.live.net/4641e3b69c8c4dfb/Documents/"/>
    </mc:Choice>
  </mc:AlternateContent>
  <xr:revisionPtr revIDLastSave="3681" documentId="8_{A6C40145-2AED-46E9-8768-D8C05C6C539D}" xr6:coauthVersionLast="47" xr6:coauthVersionMax="47" xr10:uidLastSave="{1DC82E27-B885-4D66-A5C5-9AE41D14F324}"/>
  <bookViews>
    <workbookView xWindow="-108" yWindow="-108" windowWidth="23256" windowHeight="12456" activeTab="2" xr2:uid="{44B98BA9-C279-4A38-BDBC-4CC7EAC11007}"/>
  </bookViews>
  <sheets>
    <sheet name="Car Sales" sheetId="1" r:id="rId1"/>
    <sheet name="Pivot" sheetId="2" r:id="rId2"/>
    <sheet name="Dashboard" sheetId="5" r:id="rId3"/>
  </sheets>
  <definedNames>
    <definedName name="Slicer_Date">#N/A</definedName>
    <definedName name="Slicer_Model">#N/A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2" l="1"/>
  <c r="C8" i="2"/>
  <c r="C5" i="2"/>
  <c r="C6" i="2"/>
  <c r="C9" i="2" l="1"/>
</calcChain>
</file>

<file path=xl/sharedStrings.xml><?xml version="1.0" encoding="utf-8"?>
<sst xmlns="http://schemas.openxmlformats.org/spreadsheetml/2006/main" count="96" uniqueCount="33">
  <si>
    <t>Date</t>
  </si>
  <si>
    <t>Model</t>
  </si>
  <si>
    <t>Region</t>
  </si>
  <si>
    <t>Units Sold</t>
  </si>
  <si>
    <t>Revenue</t>
  </si>
  <si>
    <t>Dealer</t>
  </si>
  <si>
    <t>Swift</t>
  </si>
  <si>
    <t>West</t>
  </si>
  <si>
    <t>Dealer A</t>
  </si>
  <si>
    <t>Baleno</t>
  </si>
  <si>
    <t>North</t>
  </si>
  <si>
    <t>Dealer B</t>
  </si>
  <si>
    <t>Brezza</t>
  </si>
  <si>
    <t>South</t>
  </si>
  <si>
    <t>Dealer C</t>
  </si>
  <si>
    <t>Ertiga</t>
  </si>
  <si>
    <t>East</t>
  </si>
  <si>
    <t>Dealer D</t>
  </si>
  <si>
    <t>Car Sales</t>
  </si>
  <si>
    <t>Row Labels</t>
  </si>
  <si>
    <t>Grand Total</t>
  </si>
  <si>
    <t>Jan</t>
  </si>
  <si>
    <t>Feb</t>
  </si>
  <si>
    <t>Mar</t>
  </si>
  <si>
    <t>Apr</t>
  </si>
  <si>
    <t>May</t>
  </si>
  <si>
    <t>Sum of Units Sold</t>
  </si>
  <si>
    <t>Sum of Revenue</t>
  </si>
  <si>
    <t>Growth</t>
  </si>
  <si>
    <t>-</t>
  </si>
  <si>
    <t xml:space="preserve">   IF(C8&gt;0,"▲ "&amp;TEXT(C8,"0%"),</t>
  </si>
  <si>
    <t xml:space="preserve">   IF(C8&lt;0,"▼ "&amp;TEXT(C8,"0%"),"—")),</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</si>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</sst>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11"/>
      <color theme="1"/>
      <name val="Aptos Narrow"/>
      <family val="2"/>
      <scheme val="minor"/>
    </font>
    <font>
      <sz val="11"/>
      <color theme="4" tint="-0.499984740745262"/>
      <name val="Aptos Narrow"/>
      <family val="2"/>
      <scheme val="minor"/>
    </font>
    <font>
      <sz val="26"/>
      <color theme="6" tint="-0.499984740745262"/>
      <name val="Aptos Narrow"/>
      <family val="2"/>
      <scheme val="minor"/>
    </font>
    <font>
      <sz val="48"/>
      <color rgb="FF00B050"/>
      <name val="Aptos Narrow"/>
      <family val="2"/>
      <scheme val="minor"/>
    </font>
    <font>
      <u/>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14">
    <xf numFmtId="0" fontId="0" fillId="0" borderId="0" xfId="0"/>
    <xf numFmtId="17" fontId="0" fillId="0" borderId="0" xfId="0" applyNumberFormat="1"/>
    <xf numFmtId="0" fontId="1" fillId="0" borderId="0" xfId="0" applyFont="1"/>
    <xf numFmtId="0" fontId="0" fillId="0" borderId="0" xfId="0" pivotButton="1"/>
    <xf numFmtId="0" fontId="0" fillId="0" borderId="0" xfId="0" applyAlignment="1">
      <alignment horizontal="left"/>
    </xf>
    <xf numFmtId="0" fontId="1" fillId="2" borderId="1" xfId="0" applyFont="1" applyFill="1" applyBorder="1"/>
    <xf numFmtId="0" fontId="1" fillId="0" borderId="1" xfId="0" applyFont="1" applyBorder="1"/>
    <xf numFmtId="9" fontId="1" fillId="0" borderId="1" xfId="1" applyFont="1" applyBorder="1"/>
    <xf numFmtId="0" fontId="3" fillId="0" borderId="0" xfId="0" applyFont="1"/>
    <xf numFmtId="9" fontId="3" fillId="0" borderId="0" xfId="0" applyNumberFormat="1" applyFont="1"/>
    <xf numFmtId="0" fontId="4" fillId="0" borderId="0" xfId="0" applyFont="1"/>
    <xf numFmtId="0" fontId="5" fillId="0" borderId="0" xfId="0" applyFont="1"/>
    <xf numFmtId="0" fontId="6" fillId="0" borderId="0" xfId="0" applyFont="1"/>
    <xf numFmtId="0" fontId="0" fillId="0" borderId="0" xfId="0" applyAlignment="1">
      <alignment wrapText="1"/>
    </xf>
  </cellXfs>
  <cellStyles count="2">
    <cellStyle name="Normal" xfId="0" builtinId="0"/>
    <cellStyle name="Percent" xfId="1" builtinId="5"/>
  </cellStyles>
  <dxfs count="1">
    <dxf>
      <numFmt numFmtId="22" formatCode="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Maruti Suzuki.xlsx]Pivot!PivotTable1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chemeClr val="accent1"/>
              </a:solidFill>
              <a:round/>
            </a:ln>
            <a:effectLst/>
          </c:spPr>
          <c:marker>
            <c:symbol val="none"/>
          </c:marker>
          <c:cat>
            <c:strRef>
              <c:f>Pivot!$A$4:$A$9</c:f>
              <c:strCache>
                <c:ptCount val="5"/>
                <c:pt idx="0">
                  <c:v>Jan</c:v>
                </c:pt>
                <c:pt idx="1">
                  <c:v>Feb</c:v>
                </c:pt>
                <c:pt idx="2">
                  <c:v>Mar</c:v>
                </c:pt>
                <c:pt idx="3">
                  <c:v>Apr</c:v>
                </c:pt>
                <c:pt idx="4">
                  <c:v>May</c:v>
                </c:pt>
              </c:strCache>
            </c:strRef>
          </c:cat>
          <c:val>
            <c:numRef>
              <c:f>Pivot!$B$4:$B$9</c:f>
              <c:numCache>
                <c:formatCode>General</c:formatCode>
                <c:ptCount val="5"/>
                <c:pt idx="0">
                  <c:v>355</c:v>
                </c:pt>
                <c:pt idx="1">
                  <c:v>405</c:v>
                </c:pt>
                <c:pt idx="2">
                  <c:v>455</c:v>
                </c:pt>
                <c:pt idx="3">
                  <c:v>470</c:v>
                </c:pt>
                <c:pt idx="4">
                  <c:v>515</c:v>
                </c:pt>
              </c:numCache>
            </c:numRef>
          </c:val>
          <c:smooth val="0"/>
          <c:extLst>
            <c:ext xmlns:c16="http://schemas.microsoft.com/office/drawing/2014/chart" uri="{C3380CC4-5D6E-409C-BE32-E72D297353CC}">
              <c16:uniqueId val="{00000000-D50B-42F3-85DD-D59E1F4D140C}"/>
            </c:ext>
          </c:extLst>
        </c:ser>
        <c:dLbls>
          <c:showLegendKey val="0"/>
          <c:showVal val="0"/>
          <c:showCatName val="0"/>
          <c:showSerName val="0"/>
          <c:showPercent val="0"/>
          <c:showBubbleSize val="0"/>
        </c:dLbls>
        <c:smooth val="0"/>
        <c:axId val="2093852928"/>
        <c:axId val="2093847168"/>
      </c:lineChart>
      <c:catAx>
        <c:axId val="209385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847168"/>
        <c:crosses val="autoZero"/>
        <c:auto val="1"/>
        <c:lblAlgn val="ctr"/>
        <c:lblOffset val="100"/>
        <c:noMultiLvlLbl val="0"/>
      </c:catAx>
      <c:valAx>
        <c:axId val="2093847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85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Maruti Suzuki.xlsx]Pivot!PivotTable2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Pivot!$F$3</c:f>
              <c:strCache>
                <c:ptCount val="1"/>
                <c:pt idx="0">
                  <c:v>Total</c:v>
                </c:pt>
              </c:strCache>
            </c:strRef>
          </c:tx>
          <c:spPr>
            <a:solidFill>
              <a:schemeClr val="accent1"/>
            </a:solidFill>
            <a:ln>
              <a:noFill/>
            </a:ln>
            <a:effectLst/>
          </c:spPr>
          <c:invertIfNegative val="0"/>
          <c:cat>
            <c:strRef>
              <c:f>Pivot!$E$4:$E$8</c:f>
              <c:strCache>
                <c:ptCount val="4"/>
                <c:pt idx="0">
                  <c:v>Baleno</c:v>
                </c:pt>
                <c:pt idx="1">
                  <c:v>Brezza</c:v>
                </c:pt>
                <c:pt idx="2">
                  <c:v>Ertiga</c:v>
                </c:pt>
                <c:pt idx="3">
                  <c:v>Swift</c:v>
                </c:pt>
              </c:strCache>
            </c:strRef>
          </c:cat>
          <c:val>
            <c:numRef>
              <c:f>Pivot!$F$4:$F$8</c:f>
              <c:numCache>
                <c:formatCode>General</c:formatCode>
                <c:ptCount val="4"/>
                <c:pt idx="0">
                  <c:v>595</c:v>
                </c:pt>
                <c:pt idx="1">
                  <c:v>495</c:v>
                </c:pt>
                <c:pt idx="2">
                  <c:v>370</c:v>
                </c:pt>
                <c:pt idx="3">
                  <c:v>740</c:v>
                </c:pt>
              </c:numCache>
            </c:numRef>
          </c:val>
          <c:extLst>
            <c:ext xmlns:c16="http://schemas.microsoft.com/office/drawing/2014/chart" uri="{C3380CC4-5D6E-409C-BE32-E72D297353CC}">
              <c16:uniqueId val="{00000000-933F-48C4-A616-AAE840699ED9}"/>
            </c:ext>
          </c:extLst>
        </c:ser>
        <c:dLbls>
          <c:showLegendKey val="0"/>
          <c:showVal val="0"/>
          <c:showCatName val="0"/>
          <c:showSerName val="0"/>
          <c:showPercent val="0"/>
          <c:showBubbleSize val="0"/>
        </c:dLbls>
        <c:gapWidth val="182"/>
        <c:axId val="669702336"/>
        <c:axId val="669702816"/>
      </c:barChart>
      <c:catAx>
        <c:axId val="669702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702816"/>
        <c:crosses val="autoZero"/>
        <c:auto val="1"/>
        <c:lblAlgn val="ctr"/>
        <c:lblOffset val="100"/>
        <c:noMultiLvlLbl val="0"/>
      </c:catAx>
      <c:valAx>
        <c:axId val="669702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70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Maruti Suzuki.xlsx]Pivot!PivotTable3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E9-40A4-9114-B66D1F79AC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E9-40A4-9114-B66D1F79AC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E9-40A4-9114-B66D1F79AC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6E9-40A4-9114-B66D1F79ACD8}"/>
              </c:ext>
            </c:extLst>
          </c:dPt>
          <c:cat>
            <c:strRef>
              <c:f>Pivot!$H$4:$H$8</c:f>
              <c:strCache>
                <c:ptCount val="4"/>
                <c:pt idx="0">
                  <c:v>East</c:v>
                </c:pt>
                <c:pt idx="1">
                  <c:v>North</c:v>
                </c:pt>
                <c:pt idx="2">
                  <c:v>South</c:v>
                </c:pt>
                <c:pt idx="3">
                  <c:v>West</c:v>
                </c:pt>
              </c:strCache>
            </c:strRef>
          </c:cat>
          <c:val>
            <c:numRef>
              <c:f>Pivot!$I$4:$I$8</c:f>
              <c:numCache>
                <c:formatCode>General</c:formatCode>
                <c:ptCount val="4"/>
                <c:pt idx="0">
                  <c:v>4440000</c:v>
                </c:pt>
                <c:pt idx="1">
                  <c:v>4165000</c:v>
                </c:pt>
                <c:pt idx="2">
                  <c:v>5445000</c:v>
                </c:pt>
                <c:pt idx="3">
                  <c:v>4440000</c:v>
                </c:pt>
              </c:numCache>
            </c:numRef>
          </c:val>
          <c:extLst>
            <c:ext xmlns:c16="http://schemas.microsoft.com/office/drawing/2014/chart" uri="{C3380CC4-5D6E-409C-BE32-E72D297353CC}">
              <c16:uniqueId val="{00000003-DEF2-4C3A-8755-8C2EFFD7382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Maruti Suzuki.xlsx]Pivot!PivotTable1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a:scene3d>
              <a:camera prst="orthographicFront"/>
              <a:lightRig rig="threePt" dir="t"/>
            </a:scene3d>
            <a:sp3d>
              <a:bevelB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607390366982722E-2"/>
          <c:y val="1.5124179054000798E-2"/>
          <c:w val="0.98258875507770849"/>
          <c:h val="0.98431102224808231"/>
        </c:manualLayout>
      </c:layout>
      <c:lineChart>
        <c:grouping val="standard"/>
        <c:varyColors val="0"/>
        <c:ser>
          <c:idx val="0"/>
          <c:order val="0"/>
          <c:tx>
            <c:strRef>
              <c:f>Pivot!$B$3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a:scene3d>
                <a:camera prst="orthographicFront"/>
                <a:lightRig rig="threePt" dir="t"/>
              </a:scene3d>
              <a:sp3d>
                <a:bevelB h="31750"/>
              </a:sp3d>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Pivot!$A$4:$A$9</c:f>
              <c:strCache>
                <c:ptCount val="5"/>
                <c:pt idx="0">
                  <c:v>Jan</c:v>
                </c:pt>
                <c:pt idx="1">
                  <c:v>Feb</c:v>
                </c:pt>
                <c:pt idx="2">
                  <c:v>Mar</c:v>
                </c:pt>
                <c:pt idx="3">
                  <c:v>Apr</c:v>
                </c:pt>
                <c:pt idx="4">
                  <c:v>May</c:v>
                </c:pt>
              </c:strCache>
            </c:strRef>
          </c:cat>
          <c:val>
            <c:numRef>
              <c:f>Pivot!$B$4:$B$9</c:f>
              <c:numCache>
                <c:formatCode>General</c:formatCode>
                <c:ptCount val="5"/>
                <c:pt idx="0">
                  <c:v>355</c:v>
                </c:pt>
                <c:pt idx="1">
                  <c:v>405</c:v>
                </c:pt>
                <c:pt idx="2">
                  <c:v>455</c:v>
                </c:pt>
                <c:pt idx="3">
                  <c:v>470</c:v>
                </c:pt>
                <c:pt idx="4">
                  <c:v>515</c:v>
                </c:pt>
              </c:numCache>
            </c:numRef>
          </c:val>
          <c:smooth val="0"/>
          <c:extLst>
            <c:ext xmlns:c16="http://schemas.microsoft.com/office/drawing/2014/chart" uri="{C3380CC4-5D6E-409C-BE32-E72D297353CC}">
              <c16:uniqueId val="{00000000-4930-4BF1-A9D0-5042DE24AB8D}"/>
            </c:ext>
          </c:extLst>
        </c:ser>
        <c:dLbls>
          <c:dLblPos val="ctr"/>
          <c:showLegendKey val="0"/>
          <c:showVal val="1"/>
          <c:showCatName val="0"/>
          <c:showSerName val="0"/>
          <c:showPercent val="0"/>
          <c:showBubbleSize val="0"/>
        </c:dLbls>
        <c:marker val="1"/>
        <c:smooth val="0"/>
        <c:axId val="2093852928"/>
        <c:axId val="2093847168"/>
      </c:lineChart>
      <c:catAx>
        <c:axId val="2093852928"/>
        <c:scaling>
          <c:orientation val="minMax"/>
        </c:scaling>
        <c:delete val="1"/>
        <c:axPos val="b"/>
        <c:numFmt formatCode="General" sourceLinked="1"/>
        <c:majorTickMark val="none"/>
        <c:minorTickMark val="none"/>
        <c:tickLblPos val="nextTo"/>
        <c:crossAx val="2093847168"/>
        <c:crosses val="autoZero"/>
        <c:auto val="1"/>
        <c:lblAlgn val="ctr"/>
        <c:lblOffset val="100"/>
        <c:noMultiLvlLbl val="0"/>
      </c:catAx>
      <c:valAx>
        <c:axId val="2093847168"/>
        <c:scaling>
          <c:orientation val="minMax"/>
        </c:scaling>
        <c:delete val="1"/>
        <c:axPos val="l"/>
        <c:numFmt formatCode="General" sourceLinked="1"/>
        <c:majorTickMark val="none"/>
        <c:minorTickMark val="none"/>
        <c:tickLblPos val="nextTo"/>
        <c:crossAx val="2093852928"/>
        <c:crosses val="autoZero"/>
        <c:crossBetween val="between"/>
      </c:valAx>
      <c:spPr>
        <a:gradFill>
          <a:gsLst>
            <a:gs pos="14000">
              <a:schemeClr val="accent1">
                <a:lumMod val="5000"/>
                <a:lumOff val="95000"/>
                <a:alpha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Maruti Suzuki.xlsx]Pivot!PivotTable2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185185185185182E-2"/>
          <c:y val="3.9007081307008071E-2"/>
          <c:w val="0.89814814814814814"/>
          <c:h val="0.8790132688297122"/>
        </c:manualLayout>
      </c:layout>
      <c:barChart>
        <c:barDir val="col"/>
        <c:grouping val="clustered"/>
        <c:varyColors val="0"/>
        <c:ser>
          <c:idx val="0"/>
          <c:order val="0"/>
          <c:tx>
            <c:strRef>
              <c:f>Pivot!$F$3</c:f>
              <c:strCache>
                <c:ptCount val="1"/>
                <c:pt idx="0">
                  <c:v>Total</c:v>
                </c:pt>
              </c:strCache>
            </c:strRef>
          </c:tx>
          <c:spPr>
            <a:solidFill>
              <a:schemeClr val="accent1"/>
            </a:solidFill>
            <a:ln>
              <a:noFill/>
            </a:ln>
            <a:effectLst/>
          </c:spPr>
          <c:invertIfNegative val="0"/>
          <c:cat>
            <c:strRef>
              <c:f>Pivot!$E$4:$E$8</c:f>
              <c:strCache>
                <c:ptCount val="4"/>
                <c:pt idx="0">
                  <c:v>Baleno</c:v>
                </c:pt>
                <c:pt idx="1">
                  <c:v>Brezza</c:v>
                </c:pt>
                <c:pt idx="2">
                  <c:v>Ertiga</c:v>
                </c:pt>
                <c:pt idx="3">
                  <c:v>Swift</c:v>
                </c:pt>
              </c:strCache>
            </c:strRef>
          </c:cat>
          <c:val>
            <c:numRef>
              <c:f>Pivot!$F$4:$F$8</c:f>
              <c:numCache>
                <c:formatCode>General</c:formatCode>
                <c:ptCount val="4"/>
                <c:pt idx="0">
                  <c:v>595</c:v>
                </c:pt>
                <c:pt idx="1">
                  <c:v>495</c:v>
                </c:pt>
                <c:pt idx="2">
                  <c:v>370</c:v>
                </c:pt>
                <c:pt idx="3">
                  <c:v>740</c:v>
                </c:pt>
              </c:numCache>
            </c:numRef>
          </c:val>
          <c:extLst>
            <c:ext xmlns:c16="http://schemas.microsoft.com/office/drawing/2014/chart" uri="{C3380CC4-5D6E-409C-BE32-E72D297353CC}">
              <c16:uniqueId val="{00000000-D855-4968-A9D3-F1EC4EC27966}"/>
            </c:ext>
          </c:extLst>
        </c:ser>
        <c:dLbls>
          <c:showLegendKey val="0"/>
          <c:showVal val="0"/>
          <c:showCatName val="0"/>
          <c:showSerName val="0"/>
          <c:showPercent val="0"/>
          <c:showBubbleSize val="0"/>
        </c:dLbls>
        <c:gapWidth val="182"/>
        <c:axId val="669702336"/>
        <c:axId val="669702816"/>
      </c:barChart>
      <c:catAx>
        <c:axId val="66970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702816"/>
        <c:crosses val="autoZero"/>
        <c:auto val="1"/>
        <c:lblAlgn val="ctr"/>
        <c:lblOffset val="100"/>
        <c:noMultiLvlLbl val="0"/>
      </c:catAx>
      <c:valAx>
        <c:axId val="669702816"/>
        <c:scaling>
          <c:orientation val="minMax"/>
        </c:scaling>
        <c:delete val="1"/>
        <c:axPos val="l"/>
        <c:numFmt formatCode="General" sourceLinked="1"/>
        <c:majorTickMark val="none"/>
        <c:minorTickMark val="none"/>
        <c:tickLblPos val="nextTo"/>
        <c:crossAx val="66970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
          <a:schemeClr val="accent1">
            <a:alpha val="90000"/>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Maruti Suzuki.xlsx]Pivot!PivotTable3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w="19050">
            <a:solidFill>
              <a:schemeClr val="lt1"/>
            </a:solidFill>
          </a:ln>
          <a:effectLst/>
          <a:scene3d>
            <a:camera prst="orthographicFront"/>
            <a:lightRig rig="threePt" dir="t"/>
          </a:scene3d>
          <a:sp3d>
            <a:bevelT/>
          </a:sp3d>
        </c:spPr>
      </c:pivotFmt>
      <c:pivotFmt>
        <c:idx val="8"/>
        <c:spPr>
          <a:solidFill>
            <a:schemeClr val="bg2">
              <a:lumMod val="50000"/>
            </a:schemeClr>
          </a:solidFill>
          <a:ln w="19050">
            <a:solidFill>
              <a:schemeClr val="lt1"/>
            </a:solidFill>
          </a:ln>
          <a:effectLst/>
          <a:scene3d>
            <a:camera prst="orthographicFront"/>
            <a:lightRig rig="threePt" dir="t"/>
          </a:scene3d>
          <a:sp3d>
            <a:bevelT/>
          </a:sp3d>
        </c:spPr>
      </c:pivotFmt>
      <c:pivotFmt>
        <c:idx val="9"/>
        <c:spPr>
          <a:solidFill>
            <a:schemeClr val="tx2">
              <a:lumMod val="75000"/>
              <a:lumOff val="25000"/>
            </a:schemeClr>
          </a:solidFill>
          <a:ln w="19050">
            <a:solidFill>
              <a:schemeClr val="lt1"/>
            </a:solidFill>
          </a:ln>
          <a:effectLst/>
          <a:scene3d>
            <a:camera prst="orthographicFront"/>
            <a:lightRig rig="threePt" dir="t"/>
          </a:scene3d>
          <a:sp3d>
            <a:bevelT/>
          </a:sp3d>
        </c:spPr>
      </c:pivotFmt>
      <c:pivotFmt>
        <c:idx val="10"/>
        <c:spPr>
          <a:solidFill>
            <a:schemeClr val="accent1">
              <a:lumMod val="60000"/>
              <a:lumOff val="40000"/>
            </a:schemeClr>
          </a:solidFill>
          <a:ln w="19050">
            <a:solidFill>
              <a:schemeClr val="lt1"/>
            </a:solidFill>
          </a:ln>
          <a:effectLst/>
          <a:scene3d>
            <a:camera prst="orthographicFront"/>
            <a:lightRig rig="threePt" dir="t"/>
          </a:scene3d>
          <a:sp3d>
            <a:bevelT/>
          </a:sp3d>
        </c:spPr>
      </c:pivotFmt>
    </c:pivotFmts>
    <c:plotArea>
      <c:layout>
        <c:manualLayout>
          <c:layoutTarget val="inner"/>
          <c:xMode val="edge"/>
          <c:yMode val="edge"/>
          <c:x val="9.0125491898583474E-2"/>
          <c:y val="0.11343800083706782"/>
          <c:w val="0.55362409169354965"/>
          <c:h val="0.82174028439889346"/>
        </c:manualLayout>
      </c:layout>
      <c:doughnutChart>
        <c:varyColors val="1"/>
        <c:ser>
          <c:idx val="0"/>
          <c:order val="0"/>
          <c:tx>
            <c:strRef>
              <c:f>Pivot!$I$3</c:f>
              <c:strCache>
                <c:ptCount val="1"/>
                <c:pt idx="0">
                  <c:v>Total</c:v>
                </c:pt>
              </c:strCache>
            </c:strRef>
          </c:tx>
          <c:spPr>
            <a:scene3d>
              <a:camera prst="orthographicFront"/>
              <a:lightRig rig="threePt" dir="t"/>
            </a:scene3d>
            <a:sp3d>
              <a:bevelT/>
            </a:sp3d>
          </c:spPr>
          <c:explosion val="4"/>
          <c:dPt>
            <c:idx val="0"/>
            <c:bubble3D val="0"/>
            <c:spPr>
              <a:solidFill>
                <a:schemeClr val="accent1">
                  <a:lumMod val="75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30D3-46E7-A858-BBF6BCDEA9B4}"/>
              </c:ext>
            </c:extLst>
          </c:dPt>
          <c:dPt>
            <c:idx val="1"/>
            <c:bubble3D val="0"/>
            <c:spPr>
              <a:solidFill>
                <a:schemeClr val="bg2">
                  <a:lumMod val="50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30D3-46E7-A858-BBF6BCDEA9B4}"/>
              </c:ext>
            </c:extLst>
          </c:dPt>
          <c:dPt>
            <c:idx val="2"/>
            <c:bubble3D val="0"/>
            <c:spPr>
              <a:solidFill>
                <a:schemeClr val="tx2">
                  <a:lumMod val="75000"/>
                  <a:lumOff val="25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5-30D3-46E7-A858-BBF6BCDEA9B4}"/>
              </c:ext>
            </c:extLst>
          </c:dPt>
          <c:dPt>
            <c:idx val="3"/>
            <c:bubble3D val="0"/>
            <c:spPr>
              <a:solidFill>
                <a:schemeClr val="accent1">
                  <a:lumMod val="60000"/>
                  <a:lumOff val="40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7-30D3-46E7-A858-BBF6BCDEA9B4}"/>
              </c:ext>
            </c:extLst>
          </c:dPt>
          <c:cat>
            <c:strRef>
              <c:f>Pivot!$H$4:$H$8</c:f>
              <c:strCache>
                <c:ptCount val="4"/>
                <c:pt idx="0">
                  <c:v>East</c:v>
                </c:pt>
                <c:pt idx="1">
                  <c:v>North</c:v>
                </c:pt>
                <c:pt idx="2">
                  <c:v>South</c:v>
                </c:pt>
                <c:pt idx="3">
                  <c:v>West</c:v>
                </c:pt>
              </c:strCache>
            </c:strRef>
          </c:cat>
          <c:val>
            <c:numRef>
              <c:f>Pivot!$I$4:$I$8</c:f>
              <c:numCache>
                <c:formatCode>General</c:formatCode>
                <c:ptCount val="4"/>
                <c:pt idx="0">
                  <c:v>4440000</c:v>
                </c:pt>
                <c:pt idx="1">
                  <c:v>4165000</c:v>
                </c:pt>
                <c:pt idx="2">
                  <c:v>5445000</c:v>
                </c:pt>
                <c:pt idx="3">
                  <c:v>4440000</c:v>
                </c:pt>
              </c:numCache>
            </c:numRef>
          </c:val>
          <c:extLst>
            <c:ext xmlns:c16="http://schemas.microsoft.com/office/drawing/2014/chart" uri="{C3380CC4-5D6E-409C-BE32-E72D297353CC}">
              <c16:uniqueId val="{00000008-30D3-46E7-A858-BBF6BCDEA9B4}"/>
            </c:ext>
          </c:extLst>
        </c:ser>
        <c:dLbls>
          <c:showLegendKey val="0"/>
          <c:showVal val="0"/>
          <c:showCatName val="0"/>
          <c:showSerName val="0"/>
          <c:showPercent val="0"/>
          <c:showBubbleSize val="0"/>
          <c:showLeaderLines val="1"/>
        </c:dLbls>
        <c:firstSliceAng val="0"/>
        <c:holeSize val="62"/>
      </c:doughnutChart>
      <c:spPr>
        <a:noFill/>
        <a:ln w="0">
          <a:noFill/>
        </a:ln>
        <a:effectLst>
          <a:glow>
            <a:srgbClr val="FFC000">
              <a:alpha val="41000"/>
            </a:srgbClr>
          </a:glow>
        </a:effectLst>
      </c:spPr>
    </c:plotArea>
    <c:legend>
      <c:legendPos val="r"/>
      <c:layout>
        <c:manualLayout>
          <c:xMode val="edge"/>
          <c:yMode val="edge"/>
          <c:x val="0.64123387629597828"/>
          <c:y val="0.10268442569398981"/>
          <c:w val="0.330627604197824"/>
          <c:h val="0.818285133035235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2000">
          <a:schemeClr val="accent1">
            <a:lumMod val="0"/>
            <a:lumOff val="100000"/>
            <a:alpha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133350</xdr:rowOff>
    </xdr:from>
    <xdr:to>
      <xdr:col>2</xdr:col>
      <xdr:colOff>266700</xdr:colOff>
      <xdr:row>17</xdr:row>
      <xdr:rowOff>160020</xdr:rowOff>
    </xdr:to>
    <xdr:graphicFrame macro="">
      <xdr:nvGraphicFramePr>
        <xdr:cNvPr id="2" name="Chart 1">
          <a:extLst>
            <a:ext uri="{FF2B5EF4-FFF2-40B4-BE49-F238E27FC236}">
              <a16:creationId xmlns:a16="http://schemas.microsoft.com/office/drawing/2014/main" id="{22DF85CB-9740-9B28-7A87-C8F59A1B7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518160</xdr:colOff>
      <xdr:row>10</xdr:row>
      <xdr:rowOff>148590</xdr:rowOff>
    </xdr:from>
    <xdr:to>
      <xdr:col>6</xdr:col>
      <xdr:colOff>144780</xdr:colOff>
      <xdr:row>17</xdr:row>
      <xdr:rowOff>152400</xdr:rowOff>
    </xdr:to>
    <xdr:graphicFrame macro="">
      <xdr:nvGraphicFramePr>
        <xdr:cNvPr id="3" name="Chart 2">
          <a:extLst>
            <a:ext uri="{FF2B5EF4-FFF2-40B4-BE49-F238E27FC236}">
              <a16:creationId xmlns:a16="http://schemas.microsoft.com/office/drawing/2014/main" id="{C81464DB-4744-8ED4-013C-269D0FF99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358140</xdr:colOff>
      <xdr:row>9</xdr:row>
      <xdr:rowOff>163830</xdr:rowOff>
    </xdr:from>
    <xdr:to>
      <xdr:col>10</xdr:col>
      <xdr:colOff>30480</xdr:colOff>
      <xdr:row>19</xdr:row>
      <xdr:rowOff>22860</xdr:rowOff>
    </xdr:to>
    <xdr:graphicFrame macro="">
      <xdr:nvGraphicFramePr>
        <xdr:cNvPr id="4" name="Chart 3">
          <a:extLst>
            <a:ext uri="{FF2B5EF4-FFF2-40B4-BE49-F238E27FC236}">
              <a16:creationId xmlns:a16="http://schemas.microsoft.com/office/drawing/2014/main" id="{2C206098-9653-1DCF-8BEB-AA57FC3A2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259080</xdr:colOff>
      <xdr:row>18</xdr:row>
      <xdr:rowOff>99061</xdr:rowOff>
    </xdr:from>
    <xdr:to>
      <xdr:col>1</xdr:col>
      <xdr:colOff>1013460</xdr:colOff>
      <xdr:row>28</xdr:row>
      <xdr:rowOff>121920</xdr:rowOff>
    </xdr:to>
    <mc:AlternateContent xmlns:mc="http://schemas.openxmlformats.org/markup-compatibility/2006" xmlns:a14="http://schemas.microsoft.com/office/drawing/2010/main">
      <mc:Choice Requires="a14">
        <xdr:graphicFrame macro="">
          <xdr:nvGraphicFramePr>
            <xdr:cNvPr id="11" name="Date">
              <a:extLst>
                <a:ext uri="{FF2B5EF4-FFF2-40B4-BE49-F238E27FC236}">
                  <a16:creationId xmlns:a16="http://schemas.microsoft.com/office/drawing/2014/main" id="{1AAD78E9-F626-D025-D8D9-F98C1F1BA181}"/>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59080" y="3390901"/>
              <a:ext cx="1607820" cy="1851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472440</xdr:colOff>
      <xdr:row>19</xdr:row>
      <xdr:rowOff>68581</xdr:rowOff>
    </xdr:from>
    <xdr:to>
      <xdr:col>5</xdr:col>
      <xdr:colOff>685800</xdr:colOff>
      <xdr:row>27</xdr:row>
      <xdr:rowOff>152401</xdr:rowOff>
    </xdr:to>
    <mc:AlternateContent xmlns:mc="http://schemas.openxmlformats.org/markup-compatibility/2006">
      <mc:Choice xmlns:a14="http://schemas.microsoft.com/office/drawing/2010/main" Requires="a14">
        <xdr:graphicFrame macro="">
          <xdr:nvGraphicFramePr>
            <xdr:cNvPr id="12" name="Model">
              <a:extLst>
                <a:ext uri="{FF2B5EF4-FFF2-40B4-BE49-F238E27FC236}">
                  <a16:creationId xmlns:a16="http://schemas.microsoft.com/office/drawing/2014/main" id="{7BA92AD8-567C-A6B6-B6B5-DF31237622E6}"/>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dr:sp macro="" textlink="">
          <xdr:nvSpPr>
            <xdr:cNvPr id="0" name=""/>
            <xdr:cNvSpPr>
              <a:spLocks noTextEdit="1"/>
            </xdr:cNvSpPr>
          </xdr:nvSpPr>
          <xdr:spPr>
            <a:xfrm>
              <a:off x="3002280" y="3543301"/>
              <a:ext cx="167640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167640</xdr:colOff>
      <xdr:row>20</xdr:row>
      <xdr:rowOff>22861</xdr:rowOff>
    </xdr:from>
    <xdr:to>
      <xdr:col>8</xdr:col>
      <xdr:colOff>678180</xdr:colOff>
      <xdr:row>28</xdr:row>
      <xdr:rowOff>121921</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362B6786-D137-E212-961E-BD8FEF0316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836920" y="3680461"/>
              <a:ext cx="136398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0</xdr:row>
      <xdr:rowOff>15239</xdr:rowOff>
    </xdr:from>
    <xdr:to>
      <xdr:col>24</xdr:col>
      <xdr:colOff>474133</xdr:colOff>
      <xdr:row>4</xdr:row>
      <xdr:rowOff>126999</xdr:rowOff>
    </xdr:to>
    <xdr:sp macro="" textlink="">
      <xdr:nvSpPr>
        <xdr:cNvPr id="2" name="Rectangle 1">
          <a:extLst>
            <a:ext uri="{FF2B5EF4-FFF2-40B4-BE49-F238E27FC236}">
              <a16:creationId xmlns:a16="http://schemas.microsoft.com/office/drawing/2014/main" id="{FA20E93E-2DCD-B6BF-1CF5-CB6533A88B9F}"/>
            </a:ext>
          </a:extLst>
        </xdr:cNvPr>
        <xdr:cNvSpPr/>
      </xdr:nvSpPr>
      <xdr:spPr>
        <a:xfrm>
          <a:off x="22860" y="15239"/>
          <a:ext cx="15775940" cy="856827"/>
        </a:xfrm>
        <a:prstGeom prst="rect">
          <a:avLst/>
        </a:prstGeom>
        <a:effectLst>
          <a:softEdge rad="508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i="0">
              <a:latin typeface="Arial Black" panose="020B0A04020102020204" pitchFamily="34" charset="0"/>
            </a:rPr>
            <a:t>Sales</a:t>
          </a:r>
          <a:r>
            <a:rPr lang="en-IN" sz="2800" b="1" i="0" baseline="0">
              <a:latin typeface="Arial Black" panose="020B0A04020102020204" pitchFamily="34" charset="0"/>
            </a:rPr>
            <a:t> </a:t>
          </a:r>
          <a:r>
            <a:rPr lang="en-IN" sz="2800" b="1" i="0" u="none" baseline="0">
              <a:latin typeface="Arial Black" panose="020B0A04020102020204" pitchFamily="34" charset="0"/>
            </a:rPr>
            <a:t>Performance</a:t>
          </a:r>
          <a:r>
            <a:rPr lang="en-IN" sz="2800" b="1" i="0" baseline="0">
              <a:latin typeface="Arial Black" panose="020B0A04020102020204" pitchFamily="34" charset="0"/>
            </a:rPr>
            <a:t> Dashboard - Maruti Suzuki</a:t>
          </a:r>
          <a:endParaRPr lang="en-IN" sz="2800" b="1" i="0">
            <a:latin typeface="Arial Black" panose="020B0A04020102020204" pitchFamily="34" charset="0"/>
          </a:endParaRPr>
        </a:p>
      </xdr:txBody>
    </xdr:sp>
    <xdr:clientData/>
  </xdr:twoCellAnchor>
  <xdr:twoCellAnchor>
    <xdr:from>
      <xdr:col>0</xdr:col>
      <xdr:colOff>120649</xdr:colOff>
      <xdr:row>5</xdr:row>
      <xdr:rowOff>99058</xdr:rowOff>
    </xdr:from>
    <xdr:to>
      <xdr:col>6</xdr:col>
      <xdr:colOff>110067</xdr:colOff>
      <xdr:row>25</xdr:row>
      <xdr:rowOff>67733</xdr:rowOff>
    </xdr:to>
    <xdr:sp macro="" textlink="">
      <xdr:nvSpPr>
        <xdr:cNvPr id="3" name="Rectangle 2">
          <a:extLst>
            <a:ext uri="{FF2B5EF4-FFF2-40B4-BE49-F238E27FC236}">
              <a16:creationId xmlns:a16="http://schemas.microsoft.com/office/drawing/2014/main" id="{F951339B-24C3-3083-B9D3-3AA077E1775F}"/>
            </a:ext>
          </a:extLst>
        </xdr:cNvPr>
        <xdr:cNvSpPr/>
      </xdr:nvSpPr>
      <xdr:spPr>
        <a:xfrm>
          <a:off x="120649" y="1030391"/>
          <a:ext cx="3647018" cy="4549142"/>
        </a:xfrm>
        <a:prstGeom prst="rect">
          <a:avLst/>
        </a:prstGeom>
        <a:effectLst>
          <a:softEdge rad="508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800" b="1">
              <a:solidFill>
                <a:schemeClr val="lt1"/>
              </a:solidFill>
              <a:latin typeface="+mn-lt"/>
              <a:ea typeface="+mn-ea"/>
              <a:cs typeface="+mn-cs"/>
            </a:rPr>
            <a:t>  </a:t>
          </a:r>
          <a:r>
            <a:rPr lang="en-IN" sz="2000" b="1">
              <a:solidFill>
                <a:schemeClr val="lt1"/>
              </a:solidFill>
              <a:latin typeface="+mn-lt"/>
              <a:ea typeface="+mn-ea"/>
              <a:cs typeface="+mn-cs"/>
            </a:rPr>
            <a:t>2,200 Units </a:t>
          </a:r>
          <a:endParaRPr lang="en-IN" sz="1800" b="1">
            <a:solidFill>
              <a:schemeClr val="lt1"/>
            </a:solidFill>
            <a:latin typeface="+mn-lt"/>
            <a:ea typeface="+mn-ea"/>
            <a:cs typeface="+mn-cs"/>
          </a:endParaRPr>
        </a:p>
        <a:p>
          <a:pPr marL="0" indent="0" algn="l"/>
          <a:endParaRPr lang="en-IN" sz="1800" b="1">
            <a:solidFill>
              <a:schemeClr val="lt1"/>
            </a:solidFill>
            <a:latin typeface="+mn-lt"/>
            <a:ea typeface="+mn-ea"/>
            <a:cs typeface="+mn-cs"/>
          </a:endParaRPr>
        </a:p>
      </xdr:txBody>
    </xdr:sp>
    <xdr:clientData/>
  </xdr:twoCellAnchor>
  <xdr:twoCellAnchor>
    <xdr:from>
      <xdr:col>6</xdr:col>
      <xdr:colOff>355601</xdr:colOff>
      <xdr:row>5</xdr:row>
      <xdr:rowOff>89745</xdr:rowOff>
    </xdr:from>
    <xdr:to>
      <xdr:col>12</xdr:col>
      <xdr:colOff>313267</xdr:colOff>
      <xdr:row>25</xdr:row>
      <xdr:rowOff>50799</xdr:rowOff>
    </xdr:to>
    <xdr:sp macro="" textlink="">
      <xdr:nvSpPr>
        <xdr:cNvPr id="4" name="Rectangle 3">
          <a:extLst>
            <a:ext uri="{FF2B5EF4-FFF2-40B4-BE49-F238E27FC236}">
              <a16:creationId xmlns:a16="http://schemas.microsoft.com/office/drawing/2014/main" id="{3922F843-1178-53E0-879F-01543B6D2A89}"/>
            </a:ext>
          </a:extLst>
        </xdr:cNvPr>
        <xdr:cNvSpPr/>
      </xdr:nvSpPr>
      <xdr:spPr>
        <a:xfrm>
          <a:off x="4013201" y="1021078"/>
          <a:ext cx="3615266" cy="4541521"/>
        </a:xfrm>
        <a:prstGeom prst="rect">
          <a:avLst/>
        </a:prstGeom>
        <a:effectLst>
          <a:softEdge rad="508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   </a:t>
          </a:r>
          <a:r>
            <a:rPr lang="en-IN" sz="2000" b="1"/>
            <a:t>Rs. 1,84,90,000</a:t>
          </a:r>
          <a:endParaRPr lang="en-IN" sz="1800" b="1"/>
        </a:p>
      </xdr:txBody>
    </xdr:sp>
    <xdr:clientData/>
  </xdr:twoCellAnchor>
  <xdr:twoCellAnchor>
    <xdr:from>
      <xdr:col>12</xdr:col>
      <xdr:colOff>550333</xdr:colOff>
      <xdr:row>5</xdr:row>
      <xdr:rowOff>113451</xdr:rowOff>
    </xdr:from>
    <xdr:to>
      <xdr:col>17</xdr:col>
      <xdr:colOff>640927</xdr:colOff>
      <xdr:row>25</xdr:row>
      <xdr:rowOff>25399</xdr:rowOff>
    </xdr:to>
    <xdr:sp macro="" textlink="">
      <xdr:nvSpPr>
        <xdr:cNvPr id="5" name="Rectangle 4">
          <a:extLst>
            <a:ext uri="{FF2B5EF4-FFF2-40B4-BE49-F238E27FC236}">
              <a16:creationId xmlns:a16="http://schemas.microsoft.com/office/drawing/2014/main" id="{9EFA8150-F5CF-FA77-3EC9-D2A0CB89BF7C}"/>
            </a:ext>
          </a:extLst>
        </xdr:cNvPr>
        <xdr:cNvSpPr/>
      </xdr:nvSpPr>
      <xdr:spPr>
        <a:xfrm>
          <a:off x="7865533" y="1044784"/>
          <a:ext cx="3384127" cy="4492415"/>
        </a:xfrm>
        <a:prstGeom prst="rect">
          <a:avLst/>
        </a:prstGeom>
        <a:effectLst>
          <a:softEdge rad="508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u="none" baseline="0"/>
            <a:t>    </a:t>
          </a:r>
          <a:r>
            <a:rPr lang="en-IN" sz="2100" b="1" u="none"/>
            <a:t>Swift</a:t>
          </a:r>
        </a:p>
      </xdr:txBody>
    </xdr:sp>
    <xdr:clientData/>
  </xdr:twoCellAnchor>
  <xdr:twoCellAnchor>
    <xdr:from>
      <xdr:col>0</xdr:col>
      <xdr:colOff>423333</xdr:colOff>
      <xdr:row>9</xdr:row>
      <xdr:rowOff>117685</xdr:rowOff>
    </xdr:from>
    <xdr:to>
      <xdr:col>5</xdr:col>
      <xdr:colOff>389467</xdr:colOff>
      <xdr:row>23</xdr:row>
      <xdr:rowOff>177800</xdr:rowOff>
    </xdr:to>
    <xdr:graphicFrame macro="">
      <xdr:nvGraphicFramePr>
        <xdr:cNvPr id="7" name="Chart 6">
          <a:extLst>
            <a:ext uri="{FF2B5EF4-FFF2-40B4-BE49-F238E27FC236}">
              <a16:creationId xmlns:a16="http://schemas.microsoft.com/office/drawing/2014/main" id="{191D13F8-509B-4DAB-A114-8ABA05BD0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203201</xdr:colOff>
      <xdr:row>9</xdr:row>
      <xdr:rowOff>84667</xdr:rowOff>
    </xdr:from>
    <xdr:to>
      <xdr:col>17</xdr:col>
      <xdr:colOff>330200</xdr:colOff>
      <xdr:row>23</xdr:row>
      <xdr:rowOff>118532</xdr:rowOff>
    </xdr:to>
    <xdr:graphicFrame macro="">
      <xdr:nvGraphicFramePr>
        <xdr:cNvPr id="8" name="Chart 7">
          <a:extLst>
            <a:ext uri="{FF2B5EF4-FFF2-40B4-BE49-F238E27FC236}">
              <a16:creationId xmlns:a16="http://schemas.microsoft.com/office/drawing/2014/main" id="{423095AC-9532-4388-B4E3-8DFA931FA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25399</xdr:colOff>
      <xdr:row>9</xdr:row>
      <xdr:rowOff>72615</xdr:rowOff>
    </xdr:from>
    <xdr:to>
      <xdr:col>12</xdr:col>
      <xdr:colOff>8466</xdr:colOff>
      <xdr:row>23</xdr:row>
      <xdr:rowOff>152399</xdr:rowOff>
    </xdr:to>
    <xdr:graphicFrame macro="">
      <xdr:nvGraphicFramePr>
        <xdr:cNvPr id="9" name="Chart 8">
          <a:extLst>
            <a:ext uri="{FF2B5EF4-FFF2-40B4-BE49-F238E27FC236}">
              <a16:creationId xmlns:a16="http://schemas.microsoft.com/office/drawing/2014/main" id="{5E2D078A-74EA-441B-9EDF-48AC4BFC5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198853</xdr:colOff>
      <xdr:row>26</xdr:row>
      <xdr:rowOff>112039</xdr:rowOff>
    </xdr:from>
    <xdr:to>
      <xdr:col>6</xdr:col>
      <xdr:colOff>101601</xdr:colOff>
      <xdr:row>37</xdr:row>
      <xdr:rowOff>118533</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F2EF423F-8FA9-4CBE-B407-6C68142C694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8853" y="5810106"/>
              <a:ext cx="3560348" cy="2055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592667</xdr:colOff>
      <xdr:row>26</xdr:row>
      <xdr:rowOff>128159</xdr:rowOff>
    </xdr:from>
    <xdr:to>
      <xdr:col>17</xdr:col>
      <xdr:colOff>635000</xdr:colOff>
      <xdr:row>37</xdr:row>
      <xdr:rowOff>110067</xdr:rowOff>
    </xdr:to>
    <mc:AlternateContent xmlns:mc="http://schemas.openxmlformats.org/markup-compatibility/2006" xmlns:a14="http://schemas.microsoft.com/office/drawing/2010/main">
      <mc:Choice Requires="a14">
        <xdr:graphicFrame macro="">
          <xdr:nvGraphicFramePr>
            <xdr:cNvPr id="11" name="Car Model ">
              <a:extLst>
                <a:ext uri="{FF2B5EF4-FFF2-40B4-BE49-F238E27FC236}">
                  <a16:creationId xmlns:a16="http://schemas.microsoft.com/office/drawing/2014/main" id="{F5D48FA4-165A-46BC-B947-31D22B435EBA}"/>
                </a:ext>
              </a:extLst>
            </xdr:cNvPr>
            <xdr:cNvGraphicFramePr/>
          </xdr:nvGraphicFramePr>
          <xdr:xfrm>
            <a:off x="0" y="0"/>
            <a:ext cx="0" cy="0"/>
          </xdr:xfrm>
          <a:graphic>
            <a:graphicData uri="http://schemas.microsoft.com/office/drawing/2010/slicer">
              <sle:slicer xmlns:sle="http://schemas.microsoft.com/office/drawing/2010/slicer" name="Car Model "/>
            </a:graphicData>
          </a:graphic>
        </xdr:graphicFrame>
      </mc:Choice>
      <mc:Fallback xmlns="">
        <xdr:sp macro="" textlink="">
          <xdr:nvSpPr>
            <xdr:cNvPr id="0" name=""/>
            <xdr:cNvSpPr>
              <a:spLocks noTextEdit="1"/>
            </xdr:cNvSpPr>
          </xdr:nvSpPr>
          <xdr:spPr>
            <a:xfrm>
              <a:off x="7907867" y="5826226"/>
              <a:ext cx="3335866" cy="20308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431800</xdr:colOff>
      <xdr:row>26</xdr:row>
      <xdr:rowOff>133347</xdr:rowOff>
    </xdr:from>
    <xdr:to>
      <xdr:col>12</xdr:col>
      <xdr:colOff>338667</xdr:colOff>
      <xdr:row>37</xdr:row>
      <xdr:rowOff>110067</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29D5DB3A-C378-4507-A74B-0F267AE91EA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089400" y="5831414"/>
              <a:ext cx="3564467" cy="20256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211667</xdr:colOff>
      <xdr:row>7</xdr:row>
      <xdr:rowOff>82127</xdr:rowOff>
    </xdr:from>
    <xdr:ext cx="2171700" cy="342851"/>
    <xdr:sp macro="" textlink="">
      <xdr:nvSpPr>
        <xdr:cNvPr id="18" name="TextBox 17">
          <a:extLst>
            <a:ext uri="{FF2B5EF4-FFF2-40B4-BE49-F238E27FC236}">
              <a16:creationId xmlns:a16="http://schemas.microsoft.com/office/drawing/2014/main" id="{D7FA13D4-7497-7689-6F80-EE8D9ACE7929}"/>
            </a:ext>
          </a:extLst>
        </xdr:cNvPr>
        <xdr:cNvSpPr txBox="1"/>
      </xdr:nvSpPr>
      <xdr:spPr>
        <a:xfrm>
          <a:off x="211667" y="1385994"/>
          <a:ext cx="217170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N" sz="1600" b="1">
              <a:solidFill>
                <a:schemeClr val="bg1"/>
              </a:solidFill>
            </a:rPr>
            <a:t>Total Sales</a:t>
          </a:r>
        </a:p>
      </xdr:txBody>
    </xdr:sp>
    <xdr:clientData/>
  </xdr:oneCellAnchor>
  <xdr:oneCellAnchor>
    <xdr:from>
      <xdr:col>6</xdr:col>
      <xdr:colOff>480059</xdr:colOff>
      <xdr:row>7</xdr:row>
      <xdr:rowOff>43179</xdr:rowOff>
    </xdr:from>
    <xdr:ext cx="2324100" cy="364836"/>
    <xdr:sp macro="" textlink="">
      <xdr:nvSpPr>
        <xdr:cNvPr id="21" name="TextBox 20">
          <a:extLst>
            <a:ext uri="{FF2B5EF4-FFF2-40B4-BE49-F238E27FC236}">
              <a16:creationId xmlns:a16="http://schemas.microsoft.com/office/drawing/2014/main" id="{F5FC2679-3F71-F999-29FA-4E2F2408F50F}"/>
            </a:ext>
          </a:extLst>
        </xdr:cNvPr>
        <xdr:cNvSpPr txBox="1"/>
      </xdr:nvSpPr>
      <xdr:spPr>
        <a:xfrm>
          <a:off x="4137659" y="1347046"/>
          <a:ext cx="2324100" cy="3648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bg1"/>
              </a:solidFill>
            </a:rPr>
            <a:t> Total Revenue</a:t>
          </a:r>
        </a:p>
      </xdr:txBody>
    </xdr:sp>
    <xdr:clientData/>
  </xdr:oneCellAnchor>
  <xdr:twoCellAnchor>
    <xdr:from>
      <xdr:col>18</xdr:col>
      <xdr:colOff>160868</xdr:colOff>
      <xdr:row>10</xdr:row>
      <xdr:rowOff>93133</xdr:rowOff>
    </xdr:from>
    <xdr:to>
      <xdr:col>24</xdr:col>
      <xdr:colOff>423333</xdr:colOff>
      <xdr:row>22</xdr:row>
      <xdr:rowOff>127000</xdr:rowOff>
    </xdr:to>
    <xdr:sp macro="" textlink="">
      <xdr:nvSpPr>
        <xdr:cNvPr id="24" name="TextBox 23">
          <a:extLst>
            <a:ext uri="{FF2B5EF4-FFF2-40B4-BE49-F238E27FC236}">
              <a16:creationId xmlns:a16="http://schemas.microsoft.com/office/drawing/2014/main" id="{BCC670CE-FBDA-F0D8-1BDF-632C024D5C47}"/>
            </a:ext>
          </a:extLst>
        </xdr:cNvPr>
        <xdr:cNvSpPr txBox="1"/>
      </xdr:nvSpPr>
      <xdr:spPr>
        <a:xfrm>
          <a:off x="11514668" y="1955800"/>
          <a:ext cx="4233332" cy="2887133"/>
        </a:xfrm>
        <a:prstGeom prst="rect">
          <a:avLst/>
        </a:prstGeom>
        <a:gradFill>
          <a:gsLst>
            <a:gs pos="0">
              <a:schemeClr val="accent1">
                <a:lumMod val="5000"/>
                <a:lumOff val="95000"/>
                <a:alpha val="98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oftEdge rad="50800"/>
        </a:effectLst>
      </xdr:spPr>
      <xdr:style>
        <a:lnRef idx="0">
          <a:scrgbClr r="0" g="0" b="0"/>
        </a:lnRef>
        <a:fillRef idx="0">
          <a:scrgbClr r="0" g="0" b="0"/>
        </a:fillRef>
        <a:effectRef idx="0">
          <a:scrgbClr r="0" g="0" b="0"/>
        </a:effectRef>
        <a:fontRef idx="minor">
          <a:schemeClr val="dk1"/>
        </a:fontRef>
      </xdr:style>
      <xdr:txBody>
        <a:bodyPr vertOverflow="clip" horzOverflow="clip" wrap="square" lIns="324000" tIns="252000" bIns="36000" rtlCol="0" anchor="t"/>
        <a:lstStyle/>
        <a:p>
          <a:pPr lvl="0" algn="l"/>
          <a:r>
            <a:rPr lang="en-IN" sz="2000" kern="300" spc="40">
              <a:solidFill>
                <a:schemeClr val="accent1">
                  <a:lumMod val="50000"/>
                </a:schemeClr>
              </a:solidFill>
            </a:rPr>
            <a:t>•</a:t>
          </a:r>
          <a:r>
            <a:rPr lang="en-IN" sz="2000" kern="300" spc="40" baseline="0">
              <a:solidFill>
                <a:schemeClr val="accent1">
                  <a:lumMod val="50000"/>
                </a:schemeClr>
              </a:solidFill>
            </a:rPr>
            <a:t>  Sales shows a consistent upward trend (Jan-May)</a:t>
          </a:r>
        </a:p>
        <a:p>
          <a:pPr lvl="0" algn="l"/>
          <a:r>
            <a:rPr lang="en-IN" sz="2000" kern="300" spc="40" baseline="0">
              <a:solidFill>
                <a:schemeClr val="accent1">
                  <a:lumMod val="50000"/>
                </a:schemeClr>
              </a:solidFill>
            </a:rPr>
            <a:t>•  Swift is the top selling model by volume </a:t>
          </a:r>
        </a:p>
        <a:p>
          <a:pPr lvl="0" algn="l"/>
          <a:r>
            <a:rPr lang="en-IN" sz="2000" kern="300" spc="40" baseline="0">
              <a:solidFill>
                <a:schemeClr val="accent1">
                  <a:lumMod val="50000"/>
                </a:schemeClr>
              </a:solidFill>
            </a:rPr>
            <a:t>•  Brezza contributes higher revenue per unit</a:t>
          </a:r>
        </a:p>
        <a:p>
          <a:pPr lvl="0" algn="l"/>
          <a:r>
            <a:rPr lang="en-IN" sz="2000" kern="300" spc="40" baseline="0">
              <a:solidFill>
                <a:schemeClr val="accent1">
                  <a:lumMod val="50000"/>
                </a:schemeClr>
              </a:solidFill>
            </a:rPr>
            <a:t>•  West region shows </a:t>
          </a:r>
          <a:r>
            <a:rPr lang="en-IN" sz="2000" kern="300" spc="40" baseline="0">
              <a:solidFill>
                <a:schemeClr val="accent1">
                  <a:lumMod val="50000"/>
                </a:schemeClr>
              </a:solidFill>
              <a:latin typeface="+mn-lt"/>
              <a:ea typeface="+mn-ea"/>
              <a:cs typeface="+mn-cs"/>
            </a:rPr>
            <a:t>strongest</a:t>
          </a:r>
          <a:r>
            <a:rPr lang="en-IN" sz="2000" kern="300" spc="40" baseline="0">
              <a:solidFill>
                <a:schemeClr val="accent1">
                  <a:lumMod val="50000"/>
                </a:schemeClr>
              </a:solidFill>
            </a:rPr>
            <a:t> performance </a:t>
          </a:r>
          <a:endParaRPr lang="en-IN" sz="1800" kern="300" spc="40" baseline="0">
            <a:solidFill>
              <a:schemeClr val="accent1">
                <a:lumMod val="50000"/>
              </a:schemeClr>
            </a:solidFill>
          </a:endParaRPr>
        </a:p>
      </xdr:txBody>
    </xdr:sp>
    <xdr:clientData/>
  </xdr:twoCellAnchor>
  <xdr:oneCellAnchor>
    <xdr:from>
      <xdr:col>13</xdr:col>
      <xdr:colOff>60960</xdr:colOff>
      <xdr:row>7</xdr:row>
      <xdr:rowOff>59266</xdr:rowOff>
    </xdr:from>
    <xdr:ext cx="2278380" cy="245534"/>
    <xdr:sp macro="" textlink="">
      <xdr:nvSpPr>
        <xdr:cNvPr id="22" name="TextBox 21">
          <a:extLst>
            <a:ext uri="{FF2B5EF4-FFF2-40B4-BE49-F238E27FC236}">
              <a16:creationId xmlns:a16="http://schemas.microsoft.com/office/drawing/2014/main" id="{1CF28FD8-E3CB-9201-9908-133B72BF9459}"/>
            </a:ext>
          </a:extLst>
        </xdr:cNvPr>
        <xdr:cNvSpPr txBox="1"/>
      </xdr:nvSpPr>
      <xdr:spPr>
        <a:xfrm>
          <a:off x="7985760" y="1363133"/>
          <a:ext cx="2278380" cy="2455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bg1"/>
              </a:solidFill>
            </a:rPr>
            <a:t> Top Model </a:t>
          </a:r>
        </a:p>
      </xdr:txBody>
    </xdr:sp>
    <xdr:clientData/>
  </xdr:oneCellAnchor>
  <xdr:twoCellAnchor>
    <xdr:from>
      <xdr:col>18</xdr:col>
      <xdr:colOff>101599</xdr:colOff>
      <xdr:row>5</xdr:row>
      <xdr:rowOff>115146</xdr:rowOff>
    </xdr:from>
    <xdr:to>
      <xdr:col>24</xdr:col>
      <xdr:colOff>465666</xdr:colOff>
      <xdr:row>9</xdr:row>
      <xdr:rowOff>127000</xdr:rowOff>
    </xdr:to>
    <xdr:sp macro="" textlink="">
      <xdr:nvSpPr>
        <xdr:cNvPr id="23" name="TextBox 22">
          <a:extLst>
            <a:ext uri="{FF2B5EF4-FFF2-40B4-BE49-F238E27FC236}">
              <a16:creationId xmlns:a16="http://schemas.microsoft.com/office/drawing/2014/main" id="{542E7DAB-4C55-CB87-CBE2-276A5BA157E9}"/>
            </a:ext>
          </a:extLst>
        </xdr:cNvPr>
        <xdr:cNvSpPr txBox="1"/>
      </xdr:nvSpPr>
      <xdr:spPr>
        <a:xfrm>
          <a:off x="11455399" y="1046479"/>
          <a:ext cx="4334934" cy="756921"/>
        </a:xfrm>
        <a:prstGeom prst="rect">
          <a:avLst/>
        </a:prstGeom>
        <a:effectLst>
          <a:softEdge rad="50800"/>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a:solidFill>
                <a:schemeClr val="lt1"/>
              </a:solidFill>
              <a:latin typeface="+mn-lt"/>
              <a:ea typeface="+mn-ea"/>
              <a:cs typeface="+mn-cs"/>
            </a:rPr>
            <a:t>Sales Insights</a:t>
          </a:r>
        </a:p>
      </xdr:txBody>
    </xdr:sp>
    <xdr:clientData/>
  </xdr:twoCellAnchor>
  <xdr:twoCellAnchor>
    <xdr:from>
      <xdr:col>18</xdr:col>
      <xdr:colOff>186267</xdr:colOff>
      <xdr:row>22</xdr:row>
      <xdr:rowOff>313266</xdr:rowOff>
    </xdr:from>
    <xdr:to>
      <xdr:col>24</xdr:col>
      <xdr:colOff>431799</xdr:colOff>
      <xdr:row>25</xdr:row>
      <xdr:rowOff>84667</xdr:rowOff>
    </xdr:to>
    <xdr:sp macro="" textlink="">
      <xdr:nvSpPr>
        <xdr:cNvPr id="25" name="TextBox 24">
          <a:extLst>
            <a:ext uri="{FF2B5EF4-FFF2-40B4-BE49-F238E27FC236}">
              <a16:creationId xmlns:a16="http://schemas.microsoft.com/office/drawing/2014/main" id="{C15297A5-7923-0BA9-B0AD-9C2ED1E08B8E}"/>
            </a:ext>
          </a:extLst>
        </xdr:cNvPr>
        <xdr:cNvSpPr txBox="1"/>
      </xdr:nvSpPr>
      <xdr:spPr>
        <a:xfrm>
          <a:off x="11540067" y="5029199"/>
          <a:ext cx="4216399" cy="567268"/>
        </a:xfrm>
        <a:prstGeom prst="rect">
          <a:avLst/>
        </a:prstGeom>
        <a:effectLst>
          <a:softEdge rad="50800"/>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0" i="0" u="none" baseline="0">
              <a:solidFill>
                <a:schemeClr val="lt1"/>
              </a:solidFill>
              <a:latin typeface="+mn-lt"/>
              <a:ea typeface="+mn-ea"/>
              <a:cs typeface="+mn-cs"/>
            </a:rPr>
            <a:t>KPI</a:t>
          </a:r>
        </a:p>
      </xdr:txBody>
    </xdr:sp>
    <xdr:clientData/>
  </xdr:twoCellAnchor>
  <xdr:twoCellAnchor>
    <xdr:from>
      <xdr:col>18</xdr:col>
      <xdr:colOff>237067</xdr:colOff>
      <xdr:row>25</xdr:row>
      <xdr:rowOff>169334</xdr:rowOff>
    </xdr:from>
    <xdr:to>
      <xdr:col>24</xdr:col>
      <xdr:colOff>448732</xdr:colOff>
      <xdr:row>38</xdr:row>
      <xdr:rowOff>0</xdr:rowOff>
    </xdr:to>
    <xdr:sp macro="" textlink="Pivot!C9">
      <xdr:nvSpPr>
        <xdr:cNvPr id="31" name="TextBox 30">
          <a:extLst>
            <a:ext uri="{FF2B5EF4-FFF2-40B4-BE49-F238E27FC236}">
              <a16:creationId xmlns:a16="http://schemas.microsoft.com/office/drawing/2014/main" id="{9A7707B2-E070-152E-6481-06DF08E3B272}"/>
            </a:ext>
          </a:extLst>
        </xdr:cNvPr>
        <xdr:cNvSpPr txBox="1"/>
      </xdr:nvSpPr>
      <xdr:spPr>
        <a:xfrm>
          <a:off x="11590867" y="5681134"/>
          <a:ext cx="4182532" cy="2252133"/>
        </a:xfrm>
        <a:prstGeom prst="rect">
          <a:avLst/>
        </a:prstGeom>
        <a:gradFill>
          <a:gsLst>
            <a:gs pos="0">
              <a:schemeClr val="accent1">
                <a:lumMod val="6000"/>
                <a:lumOff val="9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lt1">
              <a:shade val="50000"/>
            </a:schemeClr>
          </a:solidFill>
        </a:ln>
        <a:effectLst>
          <a:softEdge rad="63500"/>
        </a:effectLst>
      </xdr:spPr>
      <xdr:style>
        <a:lnRef idx="0">
          <a:scrgbClr r="0" g="0" b="0"/>
        </a:lnRef>
        <a:fillRef idx="0">
          <a:scrgbClr r="0" g="0" b="0"/>
        </a:fillRef>
        <a:effectRef idx="0">
          <a:scrgbClr r="0" g="0" b="0"/>
        </a:effectRef>
        <a:fontRef idx="minor">
          <a:schemeClr val="dk1"/>
        </a:fontRef>
      </xdr:style>
      <xdr:txBody>
        <a:bodyPr vertOverflow="clip" horzOverflow="clip" wrap="square" tIns="216000" rtlCol="0" anchor="t"/>
        <a:lstStyle/>
        <a:p>
          <a:pPr marL="0" indent="0" algn="ctr"/>
          <a:fld id="{D96A961E-127F-448A-A9C6-82DEE42D9813}" type="TxLink">
            <a:rPr lang="en-US" sz="4800" b="0" i="0" u="none" strike="noStrike">
              <a:solidFill>
                <a:srgbClr val="00B050"/>
              </a:solidFill>
              <a:latin typeface="Aptos Narrow"/>
              <a:ea typeface="+mn-ea"/>
              <a:cs typeface="+mn-cs"/>
            </a:rPr>
            <a:pPr marL="0" indent="0" algn="ctr"/>
            <a:t>▲ 10%</a:t>
          </a:fld>
          <a:endParaRPr lang="en-IN" sz="23900" b="0" i="0" u="none" strike="noStrike">
            <a:solidFill>
              <a:srgbClr val="00B050"/>
            </a:solidFill>
            <a:latin typeface="Aptos Narrow"/>
            <a:ea typeface="+mn-ea"/>
            <a:cs typeface="+mn-cs"/>
          </a:endParaRPr>
        </a:p>
      </xdr:txBody>
    </xdr:sp>
    <xdr:clientData/>
  </xdr:twoCellAnchor>
  <xdr:oneCellAnchor>
    <xdr:from>
      <xdr:col>18</xdr:col>
      <xdr:colOff>770467</xdr:colOff>
      <xdr:row>31</xdr:row>
      <xdr:rowOff>76201</xdr:rowOff>
    </xdr:from>
    <xdr:ext cx="3375496" cy="770467"/>
    <xdr:sp macro="" textlink="">
      <xdr:nvSpPr>
        <xdr:cNvPr id="13" name="TextBox 12">
          <a:extLst>
            <a:ext uri="{FF2B5EF4-FFF2-40B4-BE49-F238E27FC236}">
              <a16:creationId xmlns:a16="http://schemas.microsoft.com/office/drawing/2014/main" id="{9B6A8C6A-8FC9-991C-54A2-F834662EB6A6}"/>
            </a:ext>
          </a:extLst>
        </xdr:cNvPr>
        <xdr:cNvSpPr txBox="1"/>
      </xdr:nvSpPr>
      <xdr:spPr>
        <a:xfrm>
          <a:off x="12124267" y="6705601"/>
          <a:ext cx="3375496" cy="770467"/>
        </a:xfrm>
        <a:prstGeom prst="rect">
          <a:avLst/>
        </a:prstGeom>
        <a:gradFill>
          <a:gsLst>
            <a:gs pos="0">
              <a:schemeClr val="accent1">
                <a:lumMod val="6000"/>
                <a:lumOff val="9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lt1">
              <a:shade val="50000"/>
            </a:schemeClr>
          </a:solidFill>
        </a:ln>
        <a:effectLst>
          <a:softEdge rad="635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2400" b="0" i="0" u="none" strike="noStrike">
              <a:solidFill>
                <a:schemeClr val="accent6">
                  <a:lumMod val="50000"/>
                </a:schemeClr>
              </a:solidFill>
              <a:latin typeface="Aptos Narrow"/>
              <a:ea typeface="+mn-ea"/>
              <a:cs typeface="+mn-cs"/>
            </a:rPr>
            <a:t>Monthly Growth </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h Mahesh" refreshedDate="46132.761686111109" createdVersion="8" refreshedVersion="8" minRefreshableVersion="3" recordCount="20" xr:uid="{8EE10C19-E9BE-43D5-9741-967615FB8CE8}">
  <cacheSource type="worksheet">
    <worksheetSource name="Table4"/>
  </cacheSource>
  <cacheFields count="8">
    <cacheField name="Date" numFmtId="17">
      <sharedItems containsSemiMixedTypes="0" containsNonDate="0" containsDate="1" containsString="0" minDate="2025-01-01T00:00:00" maxDate="2025-05-02T00:00:00" count="5">
        <d v="2025-01-01T00:00:00"/>
        <d v="2025-02-01T00:00:00"/>
        <d v="2025-03-01T00:00:00"/>
        <d v="2025-04-01T00:00:00"/>
        <d v="2025-05-01T00:00:00"/>
      </sharedItems>
      <fieldGroup par="7"/>
    </cacheField>
    <cacheField name="Model" numFmtId="0">
      <sharedItems count="4">
        <s v="Swift"/>
        <s v="Baleno"/>
        <s v="Brezza"/>
        <s v="Ertiga"/>
      </sharedItems>
    </cacheField>
    <cacheField name="Region" numFmtId="0">
      <sharedItems count="4">
        <s v="West"/>
        <s v="North"/>
        <s v="South"/>
        <s v="East"/>
      </sharedItems>
    </cacheField>
    <cacheField name="Units Sold" numFmtId="0">
      <sharedItems containsSemiMixedTypes="0" containsString="0" containsNumber="1" containsInteger="1" minValue="60" maxValue="170"/>
    </cacheField>
    <cacheField name="Revenue" numFmtId="0">
      <sharedItems containsSemiMixedTypes="0" containsString="0" containsNumber="1" containsInteger="1" minValue="665000" maxValue="1320000"/>
    </cacheField>
    <cacheField name="Dealer" numFmtId="0">
      <sharedItems/>
    </cacheField>
    <cacheField name="Days (Date)" numFmtId="0" databaseField="0">
      <fieldGroup base="0">
        <rangePr groupBy="days" startDate="2025-01-01T00:00:00" endDate="2025-05-02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5-2025"/>
        </groupItems>
      </fieldGroup>
    </cacheField>
    <cacheField name="Months (Date)" numFmtId="0" databaseField="0">
      <fieldGroup base="0">
        <rangePr groupBy="months" startDate="2025-01-01T00:00:00" endDate="2025-05-02T00:00:00"/>
        <groupItems count="14">
          <s v="&lt;01-01-2025"/>
          <s v="Jan"/>
          <s v="Feb"/>
          <s v="Mar"/>
          <s v="Apr"/>
          <s v="May"/>
          <s v="Jun"/>
          <s v="Jul"/>
          <s v="Aug"/>
          <s v="Sep"/>
          <s v="Oct"/>
          <s v="Nov"/>
          <s v="Dec"/>
          <s v="&gt;02-05-2025"/>
        </groupItems>
      </fieldGroup>
    </cacheField>
  </cacheFields>
  <extLst>
    <ext xmlns:x14="http://schemas.microsoft.com/office/spreadsheetml/2009/9/main" uri="{725AE2AE-9491-48be-B2B4-4EB974FC3084}">
      <x14:pivotCacheDefinition pivotCacheId="20795642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120"/>
    <n v="720000"/>
    <s v="Dealer A"/>
  </r>
  <r>
    <x v="0"/>
    <x v="1"/>
    <x v="1"/>
    <n v="95"/>
    <n v="665000"/>
    <s v="Dealer B"/>
  </r>
  <r>
    <x v="0"/>
    <x v="2"/>
    <x v="2"/>
    <n v="80"/>
    <n v="880000"/>
    <s v="Dealer C"/>
  </r>
  <r>
    <x v="0"/>
    <x v="3"/>
    <x v="3"/>
    <n v="60"/>
    <n v="720000"/>
    <s v="Dealer D"/>
  </r>
  <r>
    <x v="1"/>
    <x v="0"/>
    <x v="0"/>
    <n v="140"/>
    <n v="840000"/>
    <s v="Dealer A"/>
  </r>
  <r>
    <x v="1"/>
    <x v="1"/>
    <x v="1"/>
    <n v="110"/>
    <n v="770000"/>
    <s v="Dealer B"/>
  </r>
  <r>
    <x v="1"/>
    <x v="2"/>
    <x v="2"/>
    <n v="85"/>
    <n v="935000"/>
    <s v="Dealer C"/>
  </r>
  <r>
    <x v="1"/>
    <x v="3"/>
    <x v="3"/>
    <n v="70"/>
    <n v="840000"/>
    <s v="Dealer D"/>
  </r>
  <r>
    <x v="2"/>
    <x v="0"/>
    <x v="0"/>
    <n v="160"/>
    <n v="960000"/>
    <s v="Dealer A"/>
  </r>
  <r>
    <x v="2"/>
    <x v="1"/>
    <x v="1"/>
    <n v="120"/>
    <n v="840000"/>
    <s v="Dealer B"/>
  </r>
  <r>
    <x v="2"/>
    <x v="2"/>
    <x v="2"/>
    <n v="100"/>
    <n v="1100000"/>
    <s v="Dealer C"/>
  </r>
  <r>
    <x v="2"/>
    <x v="3"/>
    <x v="3"/>
    <n v="75"/>
    <n v="900000"/>
    <s v="Dealer D"/>
  </r>
  <r>
    <x v="3"/>
    <x v="0"/>
    <x v="0"/>
    <n v="150"/>
    <n v="900000"/>
    <s v="Dealer A"/>
  </r>
  <r>
    <x v="3"/>
    <x v="1"/>
    <x v="1"/>
    <n v="130"/>
    <n v="910000"/>
    <s v="Dealer B"/>
  </r>
  <r>
    <x v="3"/>
    <x v="2"/>
    <x v="2"/>
    <n v="110"/>
    <n v="1210000"/>
    <s v="Dealer C"/>
  </r>
  <r>
    <x v="3"/>
    <x v="3"/>
    <x v="3"/>
    <n v="80"/>
    <n v="960000"/>
    <s v="Dealer D"/>
  </r>
  <r>
    <x v="4"/>
    <x v="0"/>
    <x v="0"/>
    <n v="170"/>
    <n v="1020000"/>
    <s v="Dealer A"/>
  </r>
  <r>
    <x v="4"/>
    <x v="1"/>
    <x v="1"/>
    <n v="140"/>
    <n v="980000"/>
    <s v="Dealer B"/>
  </r>
  <r>
    <x v="4"/>
    <x v="2"/>
    <x v="2"/>
    <n v="120"/>
    <n v="1320000"/>
    <s v="Dealer C"/>
  </r>
  <r>
    <x v="4"/>
    <x v="3"/>
    <x v="3"/>
    <n v="85"/>
    <n v="1020000"/>
    <s v="Dealer 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9271E6-07E7-41E1-841A-8F1A68F4A19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I8" firstHeaderRow="1" firstDataRow="1" firstDataCol="1"/>
  <pivotFields count="8">
    <pivotField numFmtId="17" showAll="0">
      <items count="6">
        <item x="0"/>
        <item x="1"/>
        <item x="2"/>
        <item x="3"/>
        <item x="4"/>
        <item t="default"/>
      </items>
    </pivotField>
    <pivotField showAll="0">
      <items count="5">
        <item x="1"/>
        <item x="2"/>
        <item x="3"/>
        <item x="0"/>
        <item t="default"/>
      </items>
    </pivotField>
    <pivotField axis="axisRow" showAll="0">
      <items count="5">
        <item x="3"/>
        <item x="1"/>
        <item x="2"/>
        <item x="0"/>
        <item t="default"/>
      </items>
    </pivotField>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Items count="1">
    <i/>
  </colItems>
  <dataFields count="1">
    <dataField name="Sum of Revenue" fld="4" baseField="0"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3DA6D3-26D0-4EB7-A1C2-555BA1E6E85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3:F8" firstHeaderRow="1" firstDataRow="1" firstDataCol="1"/>
  <pivotFields count="8">
    <pivotField numFmtId="17" showAll="0">
      <items count="6">
        <item x="0"/>
        <item x="1"/>
        <item x="2"/>
        <item x="3"/>
        <item x="4"/>
        <item t="default"/>
      </items>
    </pivotField>
    <pivotField axis="axisRow" showAll="0">
      <items count="5">
        <item x="1"/>
        <item x="2"/>
        <item x="3"/>
        <item x="0"/>
        <item t="default"/>
      </items>
    </pivotField>
    <pivotField showAll="0">
      <items count="5">
        <item x="3"/>
        <item x="1"/>
        <item x="2"/>
        <item x="0"/>
        <item t="default"/>
      </items>
    </pivotField>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Units Sold"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022CA3-8404-47C3-A193-12D5BEFFAB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8">
    <pivotField axis="axisRow" numFmtId="17" showAll="0">
      <items count="6">
        <item x="0"/>
        <item x="1"/>
        <item x="2"/>
        <item x="3"/>
        <item x="4"/>
        <item t="default"/>
      </items>
    </pivotField>
    <pivotField showAll="0">
      <items count="5">
        <item x="1"/>
        <item x="2"/>
        <item x="3"/>
        <item x="0"/>
        <item t="default"/>
      </items>
    </pivotField>
    <pivotField showAll="0">
      <items count="5">
        <item x="3"/>
        <item x="1"/>
        <item x="2"/>
        <item x="0"/>
        <item t="default"/>
      </items>
    </pivotField>
    <pivotField dataField="1"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7"/>
    <field x="6"/>
    <field x="0"/>
  </rowFields>
  <rowItems count="6">
    <i>
      <x v="1"/>
    </i>
    <i>
      <x v="2"/>
    </i>
    <i>
      <x v="3"/>
    </i>
    <i>
      <x v="4"/>
    </i>
    <i>
      <x v="5"/>
    </i>
    <i t="grand">
      <x/>
    </i>
  </rowItems>
  <colItems count="1">
    <i/>
  </colItems>
  <dataFields count="1">
    <dataField name="Sum of Units Sold" fld="3"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DA667970-E948-45B5-B388-9C7867D0F7E2}" sourceName="Date">
  <pivotTables>
    <pivotTable tabId="2" name="PivotTable1"/>
    <pivotTable tabId="2" name="PivotTable2"/>
    <pivotTable tabId="2" name="PivotTable3"/>
  </pivotTables>
  <data>
    <tabular pivotCacheId="2079564209">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14D76DD8-AD1E-4DBF-8265-26C5E7F17DE4}" sourceName="Model">
  <pivotTables>
    <pivotTable tabId="2" name="PivotTable2"/>
    <pivotTable tabId="2" name="PivotTable1"/>
    <pivotTable tabId="2" name="PivotTable3"/>
  </pivotTables>
  <data>
    <tabular pivotCacheId="2079564209">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705DB64-E77E-4905-94AF-A664397DDDE9}" sourceName="Region">
  <pivotTables>
    <pivotTable tabId="2" name="PivotTable3"/>
    <pivotTable tabId="2" name="PivotTable1"/>
    <pivotTable tabId="2" name="PivotTable2"/>
  </pivotTables>
  <data>
    <tabular pivotCacheId="2079564209">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3C5E1931-CE01-4A2F-812D-443A2533A6DE}" cache="Slicer_Date" caption="Date" rowHeight="247650"/>
  <slicer name="Model" xr10:uid="{B0EA7DC4-2488-451F-926F-1EE0A6C92F92}" cache="Slicer_Model" caption="Model" rowHeight="247650"/>
  <slicer name="Region" xr10:uid="{5CB6890B-F874-4C44-B60E-21CF1BBCA512}"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F815B0C-ED3B-4E0A-ADA4-B0E9F9BD7478}" cache="Slicer_Date" caption="Month" rowHeight="288000"/>
  <slicer name="Car Model " xr10:uid="{121EB7B4-32D7-4767-9B69-89ECD6ED9D3C}" cache="Slicer_Model" caption="Car Model " columnCount="2" rowHeight="792000"/>
  <slicer name="Region 1" xr10:uid="{30D04C56-9DB0-48DD-9BC3-1A509ADF8107}" cache="Slicer_Region" caption="Region" columnCount="2" rowHeight="75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7F141EB-EB3A-4AE7-831A-B3EC5C9F898E}" name="Table4" displayName="Table4" ref="A2:F22" totalsRowShown="0">
  <autoFilter ref="A2:F22" xr:uid="{E7F141EB-EB3A-4AE7-831A-B3EC5C9F898E}"/>
  <tableColumns count="6">
    <tableColumn id="1" xr3:uid="{0CAF4ADC-4817-42E2-A528-214E970941F9}" name="Date" dataDxfId="0"/>
    <tableColumn id="2" xr3:uid="{BD9DBBFF-7C14-4FBE-99BE-E2034A754D38}" name="Model"/>
    <tableColumn id="3" xr3:uid="{52006D0E-FCC7-4278-BC7B-C9DC9E1D59BA}" name="Region"/>
    <tableColumn id="4" xr3:uid="{246CF46D-F93B-4343-A9F0-1DA756014F49}" name="Units Sold"/>
    <tableColumn id="5" xr3:uid="{39A05938-3CE0-4B17-ABDA-1D5F4CC51AC0}" name="Revenue"/>
    <tableColumn id="6" xr3:uid="{7920D41C-B02F-4D95-A0BD-FA8E6299C08D}" name="Deal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E7F22-62D6-41F1-9197-FE7BED2ECA92}">
  <sheetPr codeName="Sheet1"/>
  <dimension ref="A1:F22"/>
  <sheetViews>
    <sheetView workbookViewId="0">
      <selection activeCell="C3" sqref="C3"/>
    </sheetView>
  </sheetViews>
  <sheetFormatPr defaultRowHeight="14.4" x14ac:dyDescent="0.3"/>
  <cols>
    <col min="4" max="4" width="11.33203125" customWidth="1"/>
    <col min="5" max="5" width="9.88671875" customWidth="1"/>
  </cols>
  <sheetData>
    <row r="1" spans="1:6" x14ac:dyDescent="0.3">
      <c r="B1" s="2" t="s">
        <v>18</v>
      </c>
    </row>
    <row r="2" spans="1:6" x14ac:dyDescent="0.3">
      <c r="A2" t="s">
        <v>0</v>
      </c>
      <c r="B2" t="s">
        <v>1</v>
      </c>
      <c r="C2" t="s">
        <v>2</v>
      </c>
      <c r="D2" t="s">
        <v>3</v>
      </c>
      <c r="E2" t="s">
        <v>4</v>
      </c>
      <c r="F2" t="s">
        <v>5</v>
      </c>
    </row>
    <row r="3" spans="1:6" x14ac:dyDescent="0.3">
      <c r="A3" s="1">
        <v>45658</v>
      </c>
      <c r="B3" t="s">
        <v>6</v>
      </c>
      <c r="C3" t="s">
        <v>7</v>
      </c>
      <c r="D3">
        <v>120</v>
      </c>
      <c r="E3">
        <v>720000</v>
      </c>
      <c r="F3" t="s">
        <v>8</v>
      </c>
    </row>
    <row r="4" spans="1:6" x14ac:dyDescent="0.3">
      <c r="A4" s="1">
        <v>45658</v>
      </c>
      <c r="B4" t="s">
        <v>9</v>
      </c>
      <c r="C4" t="s">
        <v>10</v>
      </c>
      <c r="D4">
        <v>95</v>
      </c>
      <c r="E4">
        <v>665000</v>
      </c>
      <c r="F4" t="s">
        <v>11</v>
      </c>
    </row>
    <row r="5" spans="1:6" x14ac:dyDescent="0.3">
      <c r="A5" s="1">
        <v>45658</v>
      </c>
      <c r="B5" t="s">
        <v>12</v>
      </c>
      <c r="C5" t="s">
        <v>13</v>
      </c>
      <c r="D5">
        <v>80</v>
      </c>
      <c r="E5">
        <v>880000</v>
      </c>
      <c r="F5" t="s">
        <v>14</v>
      </c>
    </row>
    <row r="6" spans="1:6" x14ac:dyDescent="0.3">
      <c r="A6" s="1">
        <v>45658</v>
      </c>
      <c r="B6" t="s">
        <v>15</v>
      </c>
      <c r="C6" t="s">
        <v>16</v>
      </c>
      <c r="D6">
        <v>60</v>
      </c>
      <c r="E6">
        <v>720000</v>
      </c>
      <c r="F6" t="s">
        <v>17</v>
      </c>
    </row>
    <row r="7" spans="1:6" x14ac:dyDescent="0.3">
      <c r="A7" s="1">
        <v>45689</v>
      </c>
      <c r="B7" t="s">
        <v>6</v>
      </c>
      <c r="C7" t="s">
        <v>7</v>
      </c>
      <c r="D7">
        <v>140</v>
      </c>
      <c r="E7">
        <v>840000</v>
      </c>
      <c r="F7" t="s">
        <v>8</v>
      </c>
    </row>
    <row r="8" spans="1:6" x14ac:dyDescent="0.3">
      <c r="A8" s="1">
        <v>45689</v>
      </c>
      <c r="B8" t="s">
        <v>9</v>
      </c>
      <c r="C8" t="s">
        <v>10</v>
      </c>
      <c r="D8">
        <v>110</v>
      </c>
      <c r="E8">
        <v>770000</v>
      </c>
      <c r="F8" t="s">
        <v>11</v>
      </c>
    </row>
    <row r="9" spans="1:6" x14ac:dyDescent="0.3">
      <c r="A9" s="1">
        <v>45689</v>
      </c>
      <c r="B9" t="s">
        <v>12</v>
      </c>
      <c r="C9" t="s">
        <v>13</v>
      </c>
      <c r="D9">
        <v>85</v>
      </c>
      <c r="E9">
        <v>935000</v>
      </c>
      <c r="F9" t="s">
        <v>14</v>
      </c>
    </row>
    <row r="10" spans="1:6" x14ac:dyDescent="0.3">
      <c r="A10" s="1">
        <v>45689</v>
      </c>
      <c r="B10" t="s">
        <v>15</v>
      </c>
      <c r="C10" t="s">
        <v>16</v>
      </c>
      <c r="D10">
        <v>70</v>
      </c>
      <c r="E10">
        <v>840000</v>
      </c>
      <c r="F10" t="s">
        <v>17</v>
      </c>
    </row>
    <row r="11" spans="1:6" x14ac:dyDescent="0.3">
      <c r="A11" s="1">
        <v>45717</v>
      </c>
      <c r="B11" t="s">
        <v>6</v>
      </c>
      <c r="C11" t="s">
        <v>7</v>
      </c>
      <c r="D11">
        <v>160</v>
      </c>
      <c r="E11">
        <v>960000</v>
      </c>
      <c r="F11" t="s">
        <v>8</v>
      </c>
    </row>
    <row r="12" spans="1:6" x14ac:dyDescent="0.3">
      <c r="A12" s="1">
        <v>45717</v>
      </c>
      <c r="B12" t="s">
        <v>9</v>
      </c>
      <c r="C12" t="s">
        <v>10</v>
      </c>
      <c r="D12">
        <v>120</v>
      </c>
      <c r="E12">
        <v>840000</v>
      </c>
      <c r="F12" t="s">
        <v>11</v>
      </c>
    </row>
    <row r="13" spans="1:6" x14ac:dyDescent="0.3">
      <c r="A13" s="1">
        <v>45717</v>
      </c>
      <c r="B13" t="s">
        <v>12</v>
      </c>
      <c r="C13" t="s">
        <v>13</v>
      </c>
      <c r="D13">
        <v>100</v>
      </c>
      <c r="E13">
        <v>1100000</v>
      </c>
      <c r="F13" t="s">
        <v>14</v>
      </c>
    </row>
    <row r="14" spans="1:6" x14ac:dyDescent="0.3">
      <c r="A14" s="1">
        <v>45717</v>
      </c>
      <c r="B14" t="s">
        <v>15</v>
      </c>
      <c r="C14" t="s">
        <v>16</v>
      </c>
      <c r="D14">
        <v>75</v>
      </c>
      <c r="E14">
        <v>900000</v>
      </c>
      <c r="F14" t="s">
        <v>17</v>
      </c>
    </row>
    <row r="15" spans="1:6" x14ac:dyDescent="0.3">
      <c r="A15" s="1">
        <v>45748</v>
      </c>
      <c r="B15" t="s">
        <v>6</v>
      </c>
      <c r="C15" t="s">
        <v>7</v>
      </c>
      <c r="D15">
        <v>150</v>
      </c>
      <c r="E15">
        <v>900000</v>
      </c>
      <c r="F15" t="s">
        <v>8</v>
      </c>
    </row>
    <row r="16" spans="1:6" x14ac:dyDescent="0.3">
      <c r="A16" s="1">
        <v>45748</v>
      </c>
      <c r="B16" t="s">
        <v>9</v>
      </c>
      <c r="C16" t="s">
        <v>10</v>
      </c>
      <c r="D16">
        <v>130</v>
      </c>
      <c r="E16">
        <v>910000</v>
      </c>
      <c r="F16" t="s">
        <v>11</v>
      </c>
    </row>
    <row r="17" spans="1:6" x14ac:dyDescent="0.3">
      <c r="A17" s="1">
        <v>45748</v>
      </c>
      <c r="B17" t="s">
        <v>12</v>
      </c>
      <c r="C17" t="s">
        <v>13</v>
      </c>
      <c r="D17">
        <v>110</v>
      </c>
      <c r="E17">
        <v>1210000</v>
      </c>
      <c r="F17" t="s">
        <v>14</v>
      </c>
    </row>
    <row r="18" spans="1:6" x14ac:dyDescent="0.3">
      <c r="A18" s="1">
        <v>45748</v>
      </c>
      <c r="B18" t="s">
        <v>15</v>
      </c>
      <c r="C18" t="s">
        <v>16</v>
      </c>
      <c r="D18">
        <v>80</v>
      </c>
      <c r="E18">
        <v>960000</v>
      </c>
      <c r="F18" t="s">
        <v>17</v>
      </c>
    </row>
    <row r="19" spans="1:6" x14ac:dyDescent="0.3">
      <c r="A19" s="1">
        <v>45778</v>
      </c>
      <c r="B19" t="s">
        <v>6</v>
      </c>
      <c r="C19" t="s">
        <v>7</v>
      </c>
      <c r="D19">
        <v>170</v>
      </c>
      <c r="E19">
        <v>1020000</v>
      </c>
      <c r="F19" t="s">
        <v>8</v>
      </c>
    </row>
    <row r="20" spans="1:6" x14ac:dyDescent="0.3">
      <c r="A20" s="1">
        <v>45778</v>
      </c>
      <c r="B20" t="s">
        <v>9</v>
      </c>
      <c r="C20" t="s">
        <v>10</v>
      </c>
      <c r="D20">
        <v>140</v>
      </c>
      <c r="E20">
        <v>980000</v>
      </c>
      <c r="F20" t="s">
        <v>11</v>
      </c>
    </row>
    <row r="21" spans="1:6" x14ac:dyDescent="0.3">
      <c r="A21" s="1">
        <v>45778</v>
      </c>
      <c r="B21" t="s">
        <v>12</v>
      </c>
      <c r="C21" t="s">
        <v>13</v>
      </c>
      <c r="D21">
        <v>120</v>
      </c>
      <c r="E21">
        <v>1320000</v>
      </c>
      <c r="F21" t="s">
        <v>14</v>
      </c>
    </row>
    <row r="22" spans="1:6" x14ac:dyDescent="0.3">
      <c r="A22" s="1">
        <v>45778</v>
      </c>
      <c r="B22" t="s">
        <v>15</v>
      </c>
      <c r="C22" t="s">
        <v>16</v>
      </c>
      <c r="D22">
        <v>85</v>
      </c>
      <c r="E22">
        <v>1020000</v>
      </c>
      <c r="F22"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A5F28-C441-4CF3-AAC7-32E17AF44B57}">
  <sheetPr codeName="Sheet2"/>
  <dimension ref="A3:I14"/>
  <sheetViews>
    <sheetView showGridLines="0" zoomScaleNormal="100" workbookViewId="0">
      <selection activeCell="N7" sqref="N7"/>
    </sheetView>
  </sheetViews>
  <sheetFormatPr defaultRowHeight="14.4" x14ac:dyDescent="0.3"/>
  <cols>
    <col min="1" max="1" width="12.44140625" bestFit="1" customWidth="1"/>
    <col min="2" max="2" width="15.5546875" bestFit="1" customWidth="1"/>
    <col min="5" max="5" width="12.44140625" bestFit="1" customWidth="1"/>
    <col min="6" max="6" width="15.5546875" bestFit="1" customWidth="1"/>
    <col min="8" max="8" width="12.44140625" bestFit="1" customWidth="1"/>
    <col min="9" max="9" width="14.109375" bestFit="1" customWidth="1"/>
  </cols>
  <sheetData>
    <row r="3" spans="1:9" x14ac:dyDescent="0.3">
      <c r="A3" s="3" t="s">
        <v>19</v>
      </c>
      <c r="B3" t="s">
        <v>26</v>
      </c>
      <c r="C3" s="5" t="s">
        <v>28</v>
      </c>
      <c r="E3" s="3" t="s">
        <v>19</v>
      </c>
      <c r="F3" t="s">
        <v>26</v>
      </c>
      <c r="H3" s="3" t="s">
        <v>19</v>
      </c>
      <c r="I3" t="s">
        <v>27</v>
      </c>
    </row>
    <row r="4" spans="1:9" x14ac:dyDescent="0.3">
      <c r="A4" s="4" t="s">
        <v>21</v>
      </c>
      <c r="B4">
        <v>355</v>
      </c>
      <c r="C4" s="6" t="s">
        <v>29</v>
      </c>
      <c r="E4" s="4" t="s">
        <v>9</v>
      </c>
      <c r="F4">
        <v>595</v>
      </c>
      <c r="H4" s="4" t="s">
        <v>16</v>
      </c>
      <c r="I4">
        <v>4440000</v>
      </c>
    </row>
    <row r="5" spans="1:9" x14ac:dyDescent="0.3">
      <c r="A5" s="4" t="s">
        <v>22</v>
      </c>
      <c r="B5">
        <v>405</v>
      </c>
      <c r="C5" s="7">
        <f>((GETPIVOTDATA("Units Sold",$A$3,"Months (Date)",2)-GETPIVOTDATA("Units Sold",$A$3,"Months (Date)",1))/GETPIVOTDATA("Units Sold",$A$3,"Months (Date)",1))</f>
        <v>0.14084507042253522</v>
      </c>
      <c r="E5" s="4" t="s">
        <v>12</v>
      </c>
      <c r="F5">
        <v>495</v>
      </c>
      <c r="H5" s="4" t="s">
        <v>10</v>
      </c>
      <c r="I5">
        <v>4165000</v>
      </c>
    </row>
    <row r="6" spans="1:9" x14ac:dyDescent="0.3">
      <c r="A6" s="4" t="s">
        <v>23</v>
      </c>
      <c r="B6">
        <v>455</v>
      </c>
      <c r="C6" s="7">
        <f>(GETPIVOTDATA("Units Sold",$A$3,"Months (Date)",3)-GETPIVOTDATA("Units Sold",$A$3,"Months (Date)",2))/GETPIVOTDATA("Units Sold",$A$3,"Months (Date)",2)</f>
        <v>0.12345679012345678</v>
      </c>
      <c r="E6" s="4" t="s">
        <v>15</v>
      </c>
      <c r="F6">
        <v>370</v>
      </c>
      <c r="H6" s="4" t="s">
        <v>13</v>
      </c>
      <c r="I6">
        <v>5445000</v>
      </c>
    </row>
    <row r="7" spans="1:9" x14ac:dyDescent="0.3">
      <c r="A7" s="4" t="s">
        <v>24</v>
      </c>
      <c r="B7">
        <v>470</v>
      </c>
      <c r="C7" s="7">
        <f>(GETPIVOTDATA("Units Sold",$A$3,"Months (Date)",4)-GETPIVOTDATA("Units Sold",$A$3,"Months (Date)",3))/GETPIVOTDATA("Units Sold",$A$3,"Months (Date)",3)</f>
        <v>3.2967032967032968E-2</v>
      </c>
      <c r="E7" s="4" t="s">
        <v>6</v>
      </c>
      <c r="F7">
        <v>740</v>
      </c>
      <c r="H7" s="4" t="s">
        <v>7</v>
      </c>
      <c r="I7">
        <v>4440000</v>
      </c>
    </row>
    <row r="8" spans="1:9" x14ac:dyDescent="0.3">
      <c r="A8" s="4" t="s">
        <v>25</v>
      </c>
      <c r="B8">
        <v>515</v>
      </c>
      <c r="C8" s="7">
        <f>(GETPIVOTDATA("Units Sold",$A$3,"Months (Date)",5)-GETPIVOTDATA("Units Sold",$A$3,"Months (Date)",4))/GETPIVOTDATA("Units Sold",$A$3,"Months (Date)",4)</f>
        <v>9.5744680851063829E-2</v>
      </c>
      <c r="E8" s="4" t="s">
        <v>20</v>
      </c>
      <c r="F8">
        <v>2200</v>
      </c>
      <c r="H8" s="4" t="s">
        <v>20</v>
      </c>
      <c r="I8">
        <v>18490000</v>
      </c>
    </row>
    <row r="9" spans="1:9" x14ac:dyDescent="0.3">
      <c r="A9" s="4" t="s">
        <v>20</v>
      </c>
      <c r="B9">
        <v>2200</v>
      </c>
      <c r="C9" t="str">
        <f>IFERROR(
 IF(C8="","N/A",
 IF(C8&gt;0,"▲ "&amp;TEXT(C8,"0%"),
 IF(C8&lt;0,"▼ "&amp;TEXT(ABS(C8),"0%"),"0%"))),
"N/A")</f>
        <v>▲ 10%</v>
      </c>
      <c r="E9" s="13"/>
    </row>
    <row r="12" spans="1:9" x14ac:dyDescent="0.3">
      <c r="D12" t="s">
        <v>30</v>
      </c>
      <c r="E12" t="s">
        <v>31</v>
      </c>
    </row>
    <row r="13" spans="1:9" x14ac:dyDescent="0.3">
      <c r="D13" t="s">
        <v>31</v>
      </c>
      <c r="E13" t="s">
        <v>32</v>
      </c>
    </row>
    <row r="14" spans="1:9" x14ac:dyDescent="0.3">
      <c r="D14" t="s">
        <v>32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E01A-9418-4566-94D7-87CB02650710}">
  <sheetPr codeName="Sheet4">
    <tabColor theme="4" tint="0.59999389629810485"/>
    <pageSetUpPr autoPageBreaks="0"/>
  </sheetPr>
  <dimension ref="N22:S28"/>
  <sheetViews>
    <sheetView showGridLines="0" showRowColHeaders="0" tabSelected="1" zoomScale="90" zoomScaleNormal="90" workbookViewId="0">
      <selection activeCell="AA35" sqref="AA35"/>
    </sheetView>
  </sheetViews>
  <sheetFormatPr defaultRowHeight="14.4" x14ac:dyDescent="0.3"/>
  <cols>
    <col min="17" max="17" width="12.44140625" customWidth="1"/>
    <col min="18" max="18" width="10.88671875" customWidth="1"/>
    <col min="19" max="19" width="11.33203125" customWidth="1"/>
    <col min="20" max="20" width="11" customWidth="1"/>
  </cols>
  <sheetData>
    <row r="22" spans="14:19" ht="63" x14ac:dyDescent="1.2">
      <c r="Q22" s="11"/>
      <c r="R22" s="8"/>
      <c r="S22" s="8"/>
    </row>
    <row r="23" spans="14:19" ht="33.6" x14ac:dyDescent="0.65">
      <c r="Q23" s="10"/>
      <c r="R23" s="9"/>
      <c r="S23" s="9"/>
    </row>
    <row r="25" spans="14:19" x14ac:dyDescent="0.3">
      <c r="N25" s="12"/>
    </row>
    <row r="28" spans="14:19" x14ac:dyDescent="0.3">
      <c r="N28"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Car Sales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Mahesh</dc:creator>
  <cp:lastModifiedBy>Mahesh Mahesh</cp:lastModifiedBy>
  <dcterms:created xsi:type="dcterms:W3CDTF">2026-04-20T12:38:02Z</dcterms:created>
  <dcterms:modified xsi:type="dcterms:W3CDTF">2026-04-22T17:41:24Z</dcterms:modified>
</cp:coreProperties>
</file>